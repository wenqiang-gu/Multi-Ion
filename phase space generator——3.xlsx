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<sst xmlns="http://schemas.openxmlformats.org/spreadsheetml/2006/main" count="946" uniqueCount="52">
  <si>
    <t xml:space="preserve">ID</t>
  </si>
  <si>
    <t xml:space="preserve">s:Sc/PhaseSpAtPhaseVol</t>
  </si>
  <si>
    <t xml:space="preserve">/Quantity                    = "PhaseSpace"</t>
  </si>
  <si>
    <t xml:space="preserve">cm, deg</t>
  </si>
  <si>
    <t xml:space="preserve">start</t>
  </si>
  <si>
    <t xml:space="preserve">d</t>
  </si>
  <si>
    <t xml:space="preserve">index</t>
  </si>
  <si>
    <t xml:space="preserve">bins</t>
  </si>
  <si>
    <t xml:space="preserve">b:Sc/PhaseSpAtPhaseVol</t>
  </si>
  <si>
    <t xml:space="preserve">/OutputToConsole             = "True"</t>
  </si>
  <si>
    <t xml:space="preserve">z</t>
  </si>
  <si>
    <t xml:space="preserve">/Surface                     = "PhaseVol</t>
  </si>
  <si>
    <t xml:space="preserve">/ZMinusSurface"</t>
  </si>
  <si>
    <t xml:space="preserve">r</t>
  </si>
  <si>
    <t xml:space="preserve">/OutputType                  = "ASCII" # ASCII or Binary</t>
  </si>
  <si>
    <t xml:space="preserve">phi</t>
  </si>
  <si>
    <t xml:space="preserve">/OutputFile                  = "PhaseSpASCII</t>
  </si>
  <si>
    <t xml:space="preserve">"</t>
  </si>
  <si>
    <t xml:space="preserve">i:Sc/PhaseSpAtPhaseVol</t>
  </si>
  <si>
    <t xml:space="preserve">/OutputBufferSize            = 1000</t>
  </si>
  <si>
    <t xml:space="preserve"># s:Sc/PhaseSpAtPhaseVol</t>
  </si>
  <si>
    <t xml:space="preserve">/OnlyIncludeParticlesGoing  = "In"</t>
  </si>
  <si>
    <t xml:space="preserve">/IncludeRunID                = "True"</t>
  </si>
  <si>
    <t xml:space="preserve">/IncludeEventID              = "True"</t>
  </si>
  <si>
    <t xml:space="preserve">/IncludeTrackID              = "True"</t>
  </si>
  <si>
    <t xml:space="preserve">/IncludeTime                 = "True"</t>
  </si>
  <si>
    <t xml:space="preserve">/IncludeSeed                 = "True"</t>
  </si>
  <si>
    <t xml:space="preserve">/IfOutputFileAlreadyExists   = "Overwrite" # Exit, Overwrite or Increment</t>
  </si>
  <si>
    <t xml:space="preserve">/OutputAfterRun              = "True"</t>
  </si>
  <si>
    <t xml:space="preserve">s:Ge/PhaseVol</t>
  </si>
  <si>
    <t xml:space="preserve">/Parent     = "World"</t>
  </si>
  <si>
    <t xml:space="preserve">/Type       =  "TsCylinder"</t>
  </si>
  <si>
    <t xml:space="preserve">/Material   = "G4_WATER"</t>
  </si>
  <si>
    <t xml:space="preserve">d:Ge/PhaseVol</t>
  </si>
  <si>
    <t xml:space="preserve">/Rmin =  </t>
  </si>
  <si>
    <t xml:space="preserve"> cm</t>
  </si>
  <si>
    <t xml:space="preserve">/Rmax = </t>
  </si>
  <si>
    <t xml:space="preserve">/HL = </t>
  </si>
  <si>
    <r>
      <rPr>
        <sz val="11"/>
        <rFont val="Arial"/>
        <family val="2"/>
        <charset val="1"/>
      </rPr>
      <t xml:space="preserve">/</t>
    </r>
    <r>
      <rPr>
        <sz val="11"/>
        <rFont val="Calibri"/>
        <family val="0"/>
        <charset val="1"/>
      </rPr>
      <t xml:space="preserve">Sphi     = </t>
    </r>
  </si>
  <si>
    <t xml:space="preserve"> deg</t>
  </si>
  <si>
    <t xml:space="preserve">/Dphi     = </t>
  </si>
  <si>
    <t xml:space="preserve">/TransX   =  </t>
  </si>
  <si>
    <t xml:space="preserve">/TransY   =  </t>
  </si>
  <si>
    <t xml:space="preserve">/TransZ   =  </t>
  </si>
  <si>
    <t xml:space="preserve">/RotX     = </t>
  </si>
  <si>
    <t xml:space="preserve">/RotY     =  </t>
  </si>
  <si>
    <t xml:space="preserve">/RotZ     = </t>
  </si>
  <si>
    <t xml:space="preserve">/Color    = "blue"</t>
  </si>
  <si>
    <t xml:space="preserve">i:Ge/PhaseVol</t>
  </si>
  <si>
    <t xml:space="preserve">/Zbins    =  </t>
  </si>
  <si>
    <t xml:space="preserve">/Rbins    =  </t>
  </si>
  <si>
    <t xml:space="preserve">/PhiBins    =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</si>
</sst>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63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27" activeCellId="0" sqref="F27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C2" s="1" t="s">
        <v>0</v>
      </c>
      <c r="D2" s="1" t="str">
        <f aca="false">(IF(D4&lt;0,"_Zm","_Z"))&amp;ABS(D4)&amp;"_"&amp;E4&amp;"_"&amp;F4&amp;"_R"&amp;D5&amp;"_"&amp;E5&amp;"_"&amp;F5</f>
        <v>_Zm0.001_0.001_1_R0_6_1</v>
      </c>
      <c r="H2" s="1" t="s">
        <v>1</v>
      </c>
      <c r="J2" s="1" t="str">
        <f aca="false">D2</f>
        <v>_Zm0.001_0.001_1_R0_6_1</v>
      </c>
      <c r="K2" s="1" t="s">
        <v>2</v>
      </c>
      <c r="P2" s="1" t="str">
        <f aca="false">_xlfn.CONCAT(H2:N2)</f>
        <v>s:Sc/PhaseSpAtPhaseVol_Zm0.001_0.001_1_R0_6_1/Quantity                    = "PhaseSpace"</v>
      </c>
    </row>
    <row r="3" customFormat="false" ht="14.9" hidden="false" customHeight="false" outlineLevel="0" collapsed="false">
      <c r="B3" s="1"/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J3" s="1" t="str">
        <f aca="false">D2</f>
        <v>_Zm0.001_0.001_1_R0_6_1</v>
      </c>
      <c r="K3" s="1" t="s">
        <v>9</v>
      </c>
      <c r="P3" s="1" t="str">
        <f aca="false">_xlfn.CONCAT(H3:N3)</f>
        <v>b:Sc/PhaseSpAtPhaseVol_Zm0.001_0.001_1_R0_6_1/OutputToConsole             = "True"</v>
      </c>
    </row>
    <row r="4" customFormat="false" ht="13.8" hidden="false" customHeight="false" outlineLevel="0" collapsed="false">
      <c r="B4" s="1"/>
      <c r="C4" s="1" t="s">
        <v>10</v>
      </c>
      <c r="D4" s="1" t="n">
        <v>-0.001</v>
      </c>
      <c r="E4" s="1" t="n">
        <v>0.001</v>
      </c>
      <c r="F4" s="1" t="n">
        <v>1</v>
      </c>
      <c r="G4" s="1" t="n">
        <v>1</v>
      </c>
      <c r="H4" s="1" t="s">
        <v>1</v>
      </c>
      <c r="J4" s="1" t="str">
        <f aca="false">D2</f>
        <v>_Zm0.001_0.001_1_R0_6_1</v>
      </c>
      <c r="K4" s="1" t="s">
        <v>11</v>
      </c>
      <c r="L4" s="1" t="str">
        <f aca="false">D2</f>
        <v>_Zm0.001_0.001_1_R0_6_1</v>
      </c>
      <c r="M4" s="1" t="s">
        <v>12</v>
      </c>
      <c r="P4" s="1" t="str">
        <f aca="false">_xlfn.CONCAT(H4:N4)</f>
        <v>s:Sc/PhaseSpAtPhaseVol_Zm0.001_0.001_1_R0_6_1/Surface                     = "PhaseVol_Zm0.001_0.001_1_R0_6_1/ZMinusSurface"</v>
      </c>
    </row>
    <row r="5" customFormat="false" ht="13.8" hidden="false" customHeight="false" outlineLevel="0" collapsed="false">
      <c r="B5" s="1"/>
      <c r="C5" s="1" t="s">
        <v>13</v>
      </c>
      <c r="D5" s="1" t="n">
        <v>0</v>
      </c>
      <c r="E5" s="1" t="n">
        <v>6</v>
      </c>
      <c r="F5" s="1" t="n">
        <v>1</v>
      </c>
      <c r="G5" s="1" t="n">
        <v>1</v>
      </c>
      <c r="H5" s="1" t="s">
        <v>1</v>
      </c>
      <c r="J5" s="1" t="str">
        <f aca="false">D2</f>
        <v>_Zm0.001_0.001_1_R0_6_1</v>
      </c>
      <c r="K5" s="1" t="s">
        <v>14</v>
      </c>
      <c r="P5" s="1" t="str">
        <f aca="false">_xlfn.CONCAT(H5:N5)</f>
        <v>s:Sc/PhaseSpAtPhaseVol_Zm0.001_0.001_1_R0_6_1/OutputType                  = "ASCII" # ASCII or Binary</v>
      </c>
    </row>
    <row r="6" customFormat="false" ht="13.8" hidden="false" customHeight="false" outlineLevel="0" collapsed="false">
      <c r="B6" s="1"/>
      <c r="C6" s="1" t="s">
        <v>15</v>
      </c>
      <c r="D6" s="1"/>
      <c r="E6" s="1"/>
      <c r="F6" s="1"/>
      <c r="G6" s="1" t="n">
        <v>1</v>
      </c>
      <c r="H6" s="1" t="s">
        <v>1</v>
      </c>
      <c r="J6" s="1" t="str">
        <f aca="false">D2</f>
        <v>_Zm0.001_0.001_1_R0_6_1</v>
      </c>
      <c r="K6" s="1" t="s">
        <v>16</v>
      </c>
      <c r="L6" s="1" t="str">
        <f aca="false">D2</f>
        <v>_Zm0.001_0.001_1_R0_6_1</v>
      </c>
      <c r="M6" s="1" t="s">
        <v>17</v>
      </c>
      <c r="P6" s="1" t="str">
        <f aca="false">_xlfn.CONCAT(H6:N6)</f>
        <v>s:Sc/PhaseSpAtPhaseVol_Zm0.001_0.001_1_R0_6_1/OutputFile                  = "PhaseSpASCII_Zm0.001_0.001_1_R0_6_1"</v>
      </c>
    </row>
    <row r="7" customFormat="false" ht="13.8" hidden="false" customHeight="false" outlineLevel="0" collapsed="false">
      <c r="B7" s="1"/>
      <c r="C7" s="1"/>
      <c r="D7" s="1"/>
      <c r="E7" s="1"/>
      <c r="F7" s="1"/>
      <c r="G7" s="1"/>
      <c r="H7" s="1" t="s">
        <v>18</v>
      </c>
      <c r="J7" s="1" t="str">
        <f aca="false">D2</f>
        <v>_Zm0.001_0.001_1_R0_6_1</v>
      </c>
      <c r="K7" s="1" t="s">
        <v>19</v>
      </c>
      <c r="P7" s="1" t="str">
        <f aca="false">_xlfn.CONCAT(H7:N7)</f>
        <v>i:Sc/PhaseSpAtPhaseVol_Zm0.001_0.001_1_R0_6_1/OutputBufferSize            = 1000</v>
      </c>
    </row>
    <row r="8" customFormat="false" ht="13.8" hidden="false" customHeight="false" outlineLevel="0" collapsed="false">
      <c r="B8" s="1"/>
      <c r="C8" s="1"/>
      <c r="D8" s="1"/>
      <c r="E8" s="1"/>
      <c r="F8" s="1"/>
      <c r="G8" s="1"/>
      <c r="H8" s="1" t="s">
        <v>20</v>
      </c>
      <c r="J8" s="1" t="str">
        <f aca="false">D2</f>
        <v>_Zm0.001_0.001_1_R0_6_1</v>
      </c>
      <c r="K8" s="1" t="s">
        <v>21</v>
      </c>
      <c r="P8" s="1" t="str">
        <f aca="false">_xlfn.CONCAT(H8:N8)</f>
        <v># s:Sc/PhaseSpAtPhaseVol_Zm0.001_0.001_1_R0_6_1/OnlyIncludeParticlesGoing  = "In"</v>
      </c>
    </row>
    <row r="9" customFormat="false" ht="14.9" hidden="false" customHeight="false" outlineLevel="0" collapsed="false">
      <c r="B9" s="1"/>
      <c r="C9" s="1"/>
      <c r="D9" s="1"/>
      <c r="E9" s="1"/>
      <c r="F9" s="1"/>
      <c r="G9" s="1"/>
      <c r="H9" s="1" t="s">
        <v>8</v>
      </c>
      <c r="J9" s="1" t="str">
        <f aca="false">D2</f>
        <v>_Zm0.001_0.001_1_R0_6_1</v>
      </c>
      <c r="K9" s="1" t="s">
        <v>22</v>
      </c>
      <c r="P9" s="1" t="str">
        <f aca="false">_xlfn.CONCAT(H9:N9)</f>
        <v>b:Sc/PhaseSpAtPhaseVol_Zm0.001_0.001_1_R0_6_1/IncludeRunID                = "True"</v>
      </c>
    </row>
    <row r="10" customFormat="false" ht="14.9" hidden="false" customHeight="false" outlineLevel="0" collapsed="false">
      <c r="B10" s="1"/>
      <c r="C10" s="1"/>
      <c r="D10" s="1"/>
      <c r="E10" s="1"/>
      <c r="F10" s="1"/>
      <c r="G10" s="1"/>
      <c r="H10" s="1" t="s">
        <v>8</v>
      </c>
      <c r="J10" s="1" t="str">
        <f aca="false">D2</f>
        <v>_Zm0.001_0.001_1_R0_6_1</v>
      </c>
      <c r="K10" s="1" t="s">
        <v>23</v>
      </c>
      <c r="P10" s="1" t="str">
        <f aca="false">_xlfn.CONCAT(H10:N10)</f>
        <v>b:Sc/PhaseSpAtPhaseVol_Zm0.001_0.001_1_R0_6_1/IncludeEventID              = "True"</v>
      </c>
    </row>
    <row r="11" customFormat="false" ht="14.9" hidden="false" customHeight="false" outlineLevel="0" collapsed="false">
      <c r="B11" s="1"/>
      <c r="C11" s="1"/>
      <c r="D11" s="1"/>
      <c r="E11" s="1"/>
      <c r="F11" s="1"/>
      <c r="G11" s="1"/>
      <c r="H11" s="1" t="s">
        <v>8</v>
      </c>
      <c r="J11" s="1" t="str">
        <f aca="false">D2</f>
        <v>_Zm0.001_0.001_1_R0_6_1</v>
      </c>
      <c r="K11" s="1" t="s">
        <v>24</v>
      </c>
      <c r="P11" s="1" t="str">
        <f aca="false">_xlfn.CONCAT(H11:N11)</f>
        <v>b:Sc/PhaseSpAtPhaseVol_Zm0.001_0.001_1_R0_6_1/IncludeTrackID              = "True"</v>
      </c>
    </row>
    <row r="12" customFormat="false" ht="14.9" hidden="false" customHeight="false" outlineLevel="0" collapsed="false">
      <c r="B12" s="1"/>
      <c r="C12" s="1"/>
      <c r="D12" s="1"/>
      <c r="E12" s="1"/>
      <c r="F12" s="1"/>
      <c r="G12" s="1"/>
      <c r="H12" s="1" t="s">
        <v>8</v>
      </c>
      <c r="J12" s="1" t="str">
        <f aca="false">D2</f>
        <v>_Zm0.001_0.001_1_R0_6_1</v>
      </c>
      <c r="K12" s="1" t="s">
        <v>25</v>
      </c>
      <c r="P12" s="1" t="str">
        <f aca="false">_xlfn.CONCAT(H12:N12)</f>
        <v>b:Sc/PhaseSpAtPhaseVol_Zm0.001_0.001_1_R0_6_1/IncludeTime                 = "True"</v>
      </c>
    </row>
    <row r="13" customFormat="false" ht="14.9" hidden="false" customHeight="false" outlineLevel="0" collapsed="false">
      <c r="B13" s="1"/>
      <c r="C13" s="1"/>
      <c r="D13" s="1"/>
      <c r="E13" s="1"/>
      <c r="F13" s="1"/>
      <c r="G13" s="1"/>
      <c r="H13" s="1" t="s">
        <v>8</v>
      </c>
      <c r="J13" s="1" t="str">
        <f aca="false">D2</f>
        <v>_Zm0.001_0.001_1_R0_6_1</v>
      </c>
      <c r="K13" s="1" t="s">
        <v>26</v>
      </c>
      <c r="P13" s="1" t="str">
        <f aca="false">_xlfn.CONCAT(H13:N13)</f>
        <v>b:Sc/PhaseSpAtPhaseVol_Zm0.001_0.001_1_R0_6_1/IncludeSeed                 = "True"</v>
      </c>
    </row>
    <row r="14" customFormat="false" ht="13.8" hidden="false" customHeight="false" outlineLevel="0" collapsed="false">
      <c r="B14" s="1"/>
      <c r="C14" s="1"/>
      <c r="D14" s="1"/>
      <c r="E14" s="1"/>
      <c r="F14" s="1"/>
      <c r="G14" s="1"/>
      <c r="H14" s="1" t="s">
        <v>1</v>
      </c>
      <c r="J14" s="1" t="str">
        <f aca="false">D2</f>
        <v>_Zm0.001_0.001_1_R0_6_1</v>
      </c>
      <c r="K14" s="1" t="s">
        <v>27</v>
      </c>
      <c r="P14" s="1" t="str">
        <f aca="false">_xlfn.CONCAT(H14:N14)</f>
        <v>s:Sc/PhaseSpAtPhaseVol_Zm0.001_0.001_1_R0_6_1/IfOutputFileAlreadyExists   = "Overwrite" # Exit, Overwrite or Increment</v>
      </c>
    </row>
    <row r="15" customFormat="false" ht="14.9" hidden="false" customHeight="false" outlineLevel="0" collapsed="false">
      <c r="B15" s="1"/>
      <c r="C15" s="1"/>
      <c r="D15" s="1"/>
      <c r="E15" s="1"/>
      <c r="F15" s="1"/>
      <c r="G15" s="1"/>
      <c r="H15" s="1" t="s">
        <v>8</v>
      </c>
      <c r="J15" s="1" t="str">
        <f aca="false">D2</f>
        <v>_Zm0.001_0.001_1_R0_6_1</v>
      </c>
      <c r="K15" s="1" t="s">
        <v>28</v>
      </c>
      <c r="P15" s="1" t="str">
        <f aca="false">_xlfn.CONCAT(H15:N15)</f>
        <v>b:Sc/PhaseSpAtPhaseVol_Zm0.001_0.001_1_R0_6_1/OutputAfterRun              = "True"</v>
      </c>
    </row>
    <row r="16" customFormat="false" ht="13.8" hidden="false" customHeight="false" outlineLevel="0" collapsed="false">
      <c r="B16" s="1"/>
      <c r="C16" s="1"/>
      <c r="D16" s="1"/>
      <c r="E16" s="1"/>
      <c r="F16" s="1"/>
      <c r="G16" s="1"/>
      <c r="H16" s="1" t="s">
        <v>29</v>
      </c>
      <c r="J16" s="1" t="str">
        <f aca="false">D2</f>
        <v>_Zm0.001_0.001_1_R0_6_1</v>
      </c>
      <c r="K16" s="1" t="s">
        <v>30</v>
      </c>
      <c r="P16" s="1" t="str">
        <f aca="false">_xlfn.CONCAT(H16:N16)</f>
        <v>s:Ge/PhaseVol_Zm0.001_0.001_1_R0_6_1/Parent     = "World"</v>
      </c>
    </row>
    <row r="17" customFormat="false" ht="13.8" hidden="false" customHeight="false" outlineLevel="0" collapsed="false">
      <c r="B17" s="1"/>
      <c r="C17" s="1"/>
      <c r="D17" s="1"/>
      <c r="E17" s="1"/>
      <c r="F17" s="1"/>
      <c r="G17" s="1"/>
      <c r="H17" s="1" t="s">
        <v>29</v>
      </c>
      <c r="J17" s="1" t="str">
        <f aca="false">D2</f>
        <v>_Zm0.001_0.001_1_R0_6_1</v>
      </c>
      <c r="K17" s="1" t="s">
        <v>31</v>
      </c>
      <c r="P17" s="1" t="str">
        <f aca="false">_xlfn.CONCAT(H17:N17)</f>
        <v>s:Ge/PhaseVol_Zm0.001_0.001_1_R0_6_1/Type       =  "TsCylinder"</v>
      </c>
    </row>
    <row r="18" customFormat="false" ht="13.8" hidden="false" customHeight="false" outlineLevel="0" collapsed="false">
      <c r="B18" s="1"/>
      <c r="C18" s="1"/>
      <c r="D18" s="1"/>
      <c r="E18" s="1"/>
      <c r="F18" s="1"/>
      <c r="G18" s="1"/>
      <c r="H18" s="1" t="s">
        <v>29</v>
      </c>
      <c r="J18" s="1" t="str">
        <f aca="false">D2</f>
        <v>_Zm0.001_0.001_1_R0_6_1</v>
      </c>
      <c r="K18" s="1" t="s">
        <v>32</v>
      </c>
      <c r="P18" s="1" t="str">
        <f aca="false">_xlfn.CONCAT(H18:N18)</f>
        <v>s:Ge/PhaseVol_Zm0.001_0.001_1_R0_6_1/Material   = "G4_WATER"</v>
      </c>
    </row>
    <row r="19" customFormat="false" ht="13.8" hidden="false" customHeight="false" outlineLevel="0" collapsed="false">
      <c r="B19" s="1"/>
      <c r="C19" s="1"/>
      <c r="D19" s="1"/>
      <c r="E19" s="1"/>
      <c r="F19" s="1"/>
      <c r="G19" s="1"/>
      <c r="H19" s="1" t="s">
        <v>33</v>
      </c>
      <c r="J19" s="1" t="str">
        <f aca="false">D2</f>
        <v>_Zm0.001_0.001_1_R0_6_1</v>
      </c>
      <c r="K19" s="1" t="s">
        <v>34</v>
      </c>
      <c r="L19" s="1" t="n">
        <f aca="false">D5+E5*(F5 -1)</f>
        <v>0</v>
      </c>
      <c r="M19" s="1" t="s">
        <v>35</v>
      </c>
      <c r="P19" s="1" t="str">
        <f aca="false">_xlfn.CONCAT(H19:N19)</f>
        <v>d:Ge/PhaseVol_Zm0.001_0.001_1_R0_6_1/Rmin =  0 cm</v>
      </c>
    </row>
    <row r="20" customFormat="false" ht="13.8" hidden="false" customHeight="false" outlineLevel="0" collapsed="false">
      <c r="B20" s="1"/>
      <c r="C20" s="1"/>
      <c r="D20" s="1"/>
      <c r="E20" s="1"/>
      <c r="F20" s="1"/>
      <c r="G20" s="1"/>
      <c r="H20" s="1" t="s">
        <v>33</v>
      </c>
      <c r="J20" s="1" t="str">
        <f aca="false">D2</f>
        <v>_Zm0.001_0.001_1_R0_6_1</v>
      </c>
      <c r="K20" s="1" t="s">
        <v>36</v>
      </c>
      <c r="L20" s="2" t="n">
        <f aca="false">D5+E5*(F5 )</f>
        <v>6</v>
      </c>
      <c r="M20" s="1" t="s">
        <v>35</v>
      </c>
      <c r="P20" s="1" t="str">
        <f aca="false">_xlfn.CONCAT(H20:N20)</f>
        <v>d:Ge/PhaseVol_Zm0.001_0.001_1_R0_6_1/Rmax = 6 cm</v>
      </c>
    </row>
    <row r="21" customFormat="false" ht="13.8" hidden="false" customHeight="false" outlineLevel="0" collapsed="false">
      <c r="B21" s="1"/>
      <c r="C21" s="1"/>
      <c r="D21" s="1"/>
      <c r="E21" s="1"/>
      <c r="F21" s="1"/>
      <c r="G21" s="1"/>
      <c r="H21" s="1" t="s">
        <v>33</v>
      </c>
      <c r="J21" s="1" t="str">
        <f aca="false">D2</f>
        <v>_Zm0.001_0.001_1_R0_6_1</v>
      </c>
      <c r="K21" s="1" t="s">
        <v>37</v>
      </c>
      <c r="L21" s="1" t="n">
        <f aca="false">0.5*E4</f>
        <v>0.0005</v>
      </c>
      <c r="M21" s="1" t="s">
        <v>35</v>
      </c>
      <c r="P21" s="1" t="str">
        <f aca="false">_xlfn.CONCAT(H21:N21)</f>
        <v>d:Ge/PhaseVol_Zm0.001_0.001_1_R0_6_1/HL = 0.0005 cm</v>
      </c>
    </row>
    <row r="22" customFormat="false" ht="16.95" hidden="false" customHeight="true" outlineLevel="0" collapsed="false">
      <c r="B22" s="1"/>
      <c r="C22" s="1"/>
      <c r="D22" s="1"/>
      <c r="E22" s="1"/>
      <c r="F22" s="1"/>
      <c r="G22" s="1"/>
      <c r="H22" s="1" t="s">
        <v>33</v>
      </c>
      <c r="J22" s="1" t="str">
        <f aca="false">D2</f>
        <v>_Zm0.001_0.001_1_R0_6_1</v>
      </c>
      <c r="K22" s="3" t="s">
        <v>38</v>
      </c>
      <c r="L22" s="1" t="n">
        <v>0</v>
      </c>
      <c r="M22" s="1" t="s">
        <v>39</v>
      </c>
      <c r="P22" s="1" t="str">
        <f aca="false">_xlfn.CONCAT(H22:N22)</f>
        <v>d:Ge/PhaseVol_Zm0.001_0.001_1_R0_6_1/Sphi     = 0 deg</v>
      </c>
    </row>
    <row r="23" customFormat="false" ht="16.95" hidden="false" customHeight="true" outlineLevel="0" collapsed="false">
      <c r="B23" s="1"/>
      <c r="C23" s="1"/>
      <c r="D23" s="1"/>
      <c r="E23" s="1"/>
      <c r="F23" s="1"/>
      <c r="G23" s="1"/>
      <c r="H23" s="1" t="s">
        <v>33</v>
      </c>
      <c r="I23" s="1"/>
      <c r="J23" s="1" t="str">
        <f aca="false">D2</f>
        <v>_Zm0.001_0.001_1_R0_6_1</v>
      </c>
      <c r="K23" s="1" t="s">
        <v>40</v>
      </c>
      <c r="L23" s="1" t="n">
        <v>360</v>
      </c>
      <c r="M23" s="1" t="s">
        <v>39</v>
      </c>
      <c r="P23" s="1" t="str">
        <f aca="false">_xlfn.CONCAT(H23:N23)</f>
        <v>d:Ge/PhaseVol_Zm0.001_0.001_1_R0_6_1/Dphi     = 360 deg</v>
      </c>
    </row>
    <row r="24" customFormat="false" ht="16.95" hidden="false" customHeight="true" outlineLevel="0" collapsed="false">
      <c r="B24" s="1"/>
      <c r="C24" s="1"/>
      <c r="D24" s="1"/>
      <c r="E24" s="1"/>
      <c r="F24" s="1"/>
      <c r="G24" s="1"/>
      <c r="H24" s="1" t="s">
        <v>33</v>
      </c>
      <c r="J24" s="1" t="str">
        <f aca="false">D2</f>
        <v>_Zm0.001_0.001_1_R0_6_1</v>
      </c>
      <c r="K24" s="1" t="s">
        <v>41</v>
      </c>
      <c r="L24" s="1" t="n">
        <v>0</v>
      </c>
      <c r="M24" s="1" t="s">
        <v>35</v>
      </c>
      <c r="P24" s="1" t="str">
        <f aca="false">_xlfn.CONCAT(H24:N24)</f>
        <v>d:Ge/PhaseVol_Zm0.001_0.001_1_R0_6_1/TransX   =  0 cm</v>
      </c>
    </row>
    <row r="25" customFormat="false" ht="16.95" hidden="false" customHeight="true" outlineLevel="0" collapsed="false">
      <c r="B25" s="1"/>
      <c r="C25" s="1"/>
      <c r="D25" s="1"/>
      <c r="E25" s="1"/>
      <c r="F25" s="1"/>
      <c r="G25" s="1"/>
      <c r="H25" s="1" t="s">
        <v>33</v>
      </c>
      <c r="J25" s="1" t="str">
        <f aca="false">D2</f>
        <v>_Zm0.001_0.001_1_R0_6_1</v>
      </c>
      <c r="K25" s="1" t="s">
        <v>42</v>
      </c>
      <c r="L25" s="1" t="n">
        <v>0</v>
      </c>
      <c r="M25" s="1" t="s">
        <v>35</v>
      </c>
      <c r="P25" s="1" t="str">
        <f aca="false">_xlfn.CONCAT(H25:N25)</f>
        <v>d:Ge/PhaseVol_Zm0.001_0.001_1_R0_6_1/TransY   =  0 cm</v>
      </c>
    </row>
    <row r="26" customFormat="false" ht="16.95" hidden="false" customHeight="true" outlineLevel="0" collapsed="false">
      <c r="B26" s="1"/>
      <c r="C26" s="1"/>
      <c r="D26" s="1"/>
      <c r="E26" s="1"/>
      <c r="F26" s="1"/>
      <c r="G26" s="1"/>
      <c r="H26" s="1" t="s">
        <v>33</v>
      </c>
      <c r="J26" s="1" t="str">
        <f aca="false">D2</f>
        <v>_Zm0.001_0.001_1_R0_6_1</v>
      </c>
      <c r="K26" s="1" t="s">
        <v>43</v>
      </c>
      <c r="L26" s="1" t="n">
        <f aca="false">-1*(D4-0.5*E4+E4*(F4))</f>
        <v>0.0005</v>
      </c>
      <c r="M26" s="1" t="s">
        <v>35</v>
      </c>
      <c r="P26" s="1" t="str">
        <f aca="false">_xlfn.CONCAT(H26:N26)</f>
        <v>d:Ge/PhaseVol_Zm0.001_0.001_1_R0_6_1/TransZ   =  0.0005 cm</v>
      </c>
    </row>
    <row r="27" customFormat="false" ht="16.95" hidden="false" customHeight="true" outlineLevel="0" collapsed="false">
      <c r="B27" s="1"/>
      <c r="C27" s="1"/>
      <c r="D27" s="1"/>
      <c r="E27" s="1"/>
      <c r="F27" s="1"/>
      <c r="G27" s="1"/>
      <c r="H27" s="1" t="s">
        <v>33</v>
      </c>
      <c r="J27" s="1" t="str">
        <f aca="false">D2</f>
        <v>_Zm0.001_0.001_1_R0_6_1</v>
      </c>
      <c r="K27" s="1" t="s">
        <v>44</v>
      </c>
      <c r="L27" s="1" t="n">
        <v>0</v>
      </c>
      <c r="M27" s="1" t="s">
        <v>39</v>
      </c>
      <c r="P27" s="1" t="str">
        <f aca="false">_xlfn.CONCAT(H27:N27)</f>
        <v>d:Ge/PhaseVol_Zm0.001_0.001_1_R0_6_1/RotX     = 0 deg</v>
      </c>
    </row>
    <row r="28" customFormat="false" ht="16.95" hidden="false" customHeight="true" outlineLevel="0" collapsed="false">
      <c r="B28" s="1"/>
      <c r="C28" s="1"/>
      <c r="D28" s="1"/>
      <c r="E28" s="1"/>
      <c r="F28" s="1"/>
      <c r="G28" s="1"/>
      <c r="H28" s="1" t="s">
        <v>33</v>
      </c>
      <c r="J28" s="1" t="str">
        <f aca="false">D2</f>
        <v>_Zm0.001_0.001_1_R0_6_1</v>
      </c>
      <c r="K28" s="1" t="s">
        <v>45</v>
      </c>
      <c r="L28" s="1" t="n">
        <v>0</v>
      </c>
      <c r="M28" s="1" t="s">
        <v>39</v>
      </c>
      <c r="P28" s="1" t="str">
        <f aca="false">_xlfn.CONCAT(H28:N28)</f>
        <v>d:Ge/PhaseVol_Zm0.001_0.001_1_R0_6_1/RotY     =  0 deg</v>
      </c>
    </row>
    <row r="29" customFormat="false" ht="16.95" hidden="false" customHeight="true" outlineLevel="0" collapsed="false">
      <c r="B29" s="1"/>
      <c r="C29" s="1"/>
      <c r="D29" s="1"/>
      <c r="E29" s="1"/>
      <c r="F29" s="1"/>
      <c r="G29" s="1"/>
      <c r="H29" s="1" t="s">
        <v>33</v>
      </c>
      <c r="J29" s="1" t="str">
        <f aca="false">D2</f>
        <v>_Zm0.001_0.001_1_R0_6_1</v>
      </c>
      <c r="K29" s="1" t="s">
        <v>46</v>
      </c>
      <c r="L29" s="1" t="n">
        <v>0</v>
      </c>
      <c r="M29" s="1" t="s">
        <v>39</v>
      </c>
      <c r="P29" s="1" t="str">
        <f aca="false">_xlfn.CONCAT(H29:N29)</f>
        <v>d:Ge/PhaseVol_Zm0.001_0.001_1_R0_6_1/RotZ     = 0 deg</v>
      </c>
    </row>
    <row r="30" customFormat="false" ht="16.95" hidden="false" customHeight="true" outlineLevel="0" collapsed="false">
      <c r="B30" s="1"/>
      <c r="C30" s="1"/>
      <c r="D30" s="1"/>
      <c r="E30" s="1"/>
      <c r="F30" s="1"/>
      <c r="G30" s="1"/>
      <c r="H30" s="1" t="s">
        <v>29</v>
      </c>
      <c r="J30" s="1" t="str">
        <f aca="false">D2</f>
        <v>_Zm0.001_0.001_1_R0_6_1</v>
      </c>
      <c r="K30" s="1" t="s">
        <v>47</v>
      </c>
      <c r="P30" s="1" t="str">
        <f aca="false">_xlfn.CONCAT(H30:N30)</f>
        <v>s:Ge/PhaseVol_Zm0.001_0.001_1_R0_6_1/Color    = "blue"</v>
      </c>
    </row>
    <row r="31" customFormat="false" ht="16.95" hidden="false" customHeight="true" outlineLevel="0" collapsed="false">
      <c r="B31" s="1"/>
      <c r="C31" s="1"/>
      <c r="D31" s="1"/>
      <c r="E31" s="1"/>
      <c r="F31" s="1"/>
      <c r="G31" s="1"/>
      <c r="H31" s="1" t="s">
        <v>48</v>
      </c>
      <c r="J31" s="1" t="str">
        <f aca="false">D2</f>
        <v>_Zm0.001_0.001_1_R0_6_1</v>
      </c>
      <c r="K31" s="1" t="s">
        <v>49</v>
      </c>
      <c r="L31" s="4" t="n">
        <f aca="false">G4</f>
        <v>1</v>
      </c>
      <c r="P31" s="1" t="str">
        <f aca="false">_xlfn.CONCAT(H31:N31)</f>
        <v>i:Ge/PhaseVol_Zm0.001_0.001_1_R0_6_1/Zbins    =  1</v>
      </c>
    </row>
    <row r="32" customFormat="false" ht="13.8" hidden="false" customHeight="false" outlineLevel="0" collapsed="false">
      <c r="H32" s="1" t="s">
        <v>48</v>
      </c>
      <c r="J32" s="1" t="str">
        <f aca="false">D2</f>
        <v>_Zm0.001_0.001_1_R0_6_1</v>
      </c>
      <c r="K32" s="1" t="s">
        <v>50</v>
      </c>
      <c r="L32" s="4" t="n">
        <f aca="false">G5</f>
        <v>1</v>
      </c>
      <c r="P32" s="1" t="str">
        <f aca="false">_xlfn.CONCAT(H32:N32)</f>
        <v>i:Ge/PhaseVol_Zm0.001_0.001_1_R0_6_1/Rbins    =  1</v>
      </c>
    </row>
    <row r="33" customFormat="false" ht="13.8" hidden="false" customHeight="false" outlineLevel="0" collapsed="false">
      <c r="H33" s="1" t="s">
        <v>48</v>
      </c>
      <c r="J33" s="1" t="str">
        <f aca="false">D2</f>
        <v>_Zm0.001_0.001_1_R0_6_1</v>
      </c>
      <c r="K33" s="1" t="s">
        <v>51</v>
      </c>
      <c r="L33" s="4" t="n">
        <f aca="false">G6</f>
        <v>1</v>
      </c>
      <c r="P33" s="1" t="str">
        <f aca="false">_xlfn.CONCAT(H33:N33)</f>
        <v>i:Ge/PhaseVol_Zm0.001_0.001_1_R0_6_1/PhiBins    =  1</v>
      </c>
    </row>
    <row r="35" customFormat="false" ht="13.8" hidden="false" customHeight="false" outlineLevel="0" collapsed="false">
      <c r="C35" s="1" t="s">
        <v>0</v>
      </c>
      <c r="D35" s="1" t="str">
        <f aca="false">(IF(D37&lt;0,"_Zm","_Z"))&amp;ABS(D37)&amp;"_"&amp;E37&amp;"_"&amp;F37&amp;"_R"&amp;D38&amp;"_"&amp;E38&amp;"_"&amp;F38</f>
        <v>_Z0_0.4302_1_R0_6_1</v>
      </c>
      <c r="H35" s="1" t="s">
        <v>1</v>
      </c>
      <c r="J35" s="1" t="str">
        <f aca="false">D35</f>
        <v>_Z0_0.4302_1_R0_6_1</v>
      </c>
      <c r="K35" s="1" t="s">
        <v>2</v>
      </c>
      <c r="P35" s="1" t="str">
        <f aca="false">_xlfn.CONCAT(H35:N35)</f>
        <v>s:Sc/PhaseSpAtPhaseVol_Z0_0.4302_1_R0_6_1/Quantity                    = "PhaseSpace"</v>
      </c>
    </row>
    <row r="36" customFormat="false" ht="13.8" hidden="false" customHeight="false" outlineLevel="0" collapsed="false">
      <c r="B36" s="1"/>
      <c r="C36" s="1" t="s">
        <v>3</v>
      </c>
      <c r="D36" s="1" t="s">
        <v>4</v>
      </c>
      <c r="E36" s="1" t="s">
        <v>5</v>
      </c>
      <c r="F36" s="1" t="s">
        <v>6</v>
      </c>
      <c r="G36" s="1" t="s">
        <v>7</v>
      </c>
      <c r="H36" s="1" t="s">
        <v>8</v>
      </c>
      <c r="J36" s="1" t="str">
        <f aca="false">D35</f>
        <v>_Z0_0.4302_1_R0_6_1</v>
      </c>
      <c r="K36" s="1" t="s">
        <v>9</v>
      </c>
      <c r="P36" s="1" t="str">
        <f aca="false">_xlfn.CONCAT(H36:N36)</f>
        <v>b:Sc/PhaseSpAtPhaseVol_Z0_0.4302_1_R0_6_1/OutputToConsole             = "True"</v>
      </c>
    </row>
    <row r="37" customFormat="false" ht="13.8" hidden="false" customHeight="false" outlineLevel="0" collapsed="false">
      <c r="B37" s="1"/>
      <c r="C37" s="1" t="s">
        <v>10</v>
      </c>
      <c r="D37" s="1" t="n">
        <f aca="false">D4+E4</f>
        <v>0</v>
      </c>
      <c r="E37" s="1" t="n">
        <v>0.4302</v>
      </c>
      <c r="F37" s="1" t="n">
        <v>1</v>
      </c>
      <c r="G37" s="1" t="n">
        <v>1</v>
      </c>
      <c r="H37" s="1" t="s">
        <v>1</v>
      </c>
      <c r="J37" s="1" t="str">
        <f aca="false">D35</f>
        <v>_Z0_0.4302_1_R0_6_1</v>
      </c>
      <c r="K37" s="1" t="s">
        <v>11</v>
      </c>
      <c r="L37" s="1" t="str">
        <f aca="false">D35</f>
        <v>_Z0_0.4302_1_R0_6_1</v>
      </c>
      <c r="M37" s="1" t="s">
        <v>12</v>
      </c>
      <c r="P37" s="1" t="str">
        <f aca="false">_xlfn.CONCAT(H37:N37)</f>
        <v>s:Sc/PhaseSpAtPhaseVol_Z0_0.4302_1_R0_6_1/Surface                     = "PhaseVol_Z0_0.4302_1_R0_6_1/ZMinusSurface"</v>
      </c>
    </row>
    <row r="38" customFormat="false" ht="13.8" hidden="false" customHeight="false" outlineLevel="0" collapsed="false">
      <c r="B38" s="1"/>
      <c r="C38" s="1" t="s">
        <v>13</v>
      </c>
      <c r="D38" s="1" t="n">
        <v>0</v>
      </c>
      <c r="E38" s="1" t="n">
        <f aca="false">E5</f>
        <v>6</v>
      </c>
      <c r="F38" s="1" t="n">
        <v>1</v>
      </c>
      <c r="G38" s="1" t="n">
        <v>1</v>
      </c>
      <c r="H38" s="1" t="s">
        <v>1</v>
      </c>
      <c r="J38" s="1" t="str">
        <f aca="false">D35</f>
        <v>_Z0_0.4302_1_R0_6_1</v>
      </c>
      <c r="K38" s="1" t="s">
        <v>14</v>
      </c>
      <c r="P38" s="1" t="str">
        <f aca="false">_xlfn.CONCAT(H38:N38)</f>
        <v>s:Sc/PhaseSpAtPhaseVol_Z0_0.4302_1_R0_6_1/OutputType                  = "ASCII" # ASCII or Binary</v>
      </c>
    </row>
    <row r="39" customFormat="false" ht="13.8" hidden="false" customHeight="false" outlineLevel="0" collapsed="false">
      <c r="B39" s="1"/>
      <c r="C39" s="1" t="s">
        <v>15</v>
      </c>
      <c r="D39" s="1"/>
      <c r="E39" s="1"/>
      <c r="F39" s="1"/>
      <c r="G39" s="1" t="n">
        <v>1</v>
      </c>
      <c r="H39" s="1" t="s">
        <v>1</v>
      </c>
      <c r="J39" s="1" t="str">
        <f aca="false">D35</f>
        <v>_Z0_0.4302_1_R0_6_1</v>
      </c>
      <c r="K39" s="1" t="s">
        <v>16</v>
      </c>
      <c r="L39" s="1" t="str">
        <f aca="false">D35</f>
        <v>_Z0_0.4302_1_R0_6_1</v>
      </c>
      <c r="M39" s="1" t="s">
        <v>17</v>
      </c>
      <c r="P39" s="1" t="str">
        <f aca="false">_xlfn.CONCAT(H39:N39)</f>
        <v>s:Sc/PhaseSpAtPhaseVol_Z0_0.4302_1_R0_6_1/OutputFile                  = "PhaseSpASCII_Z0_0.4302_1_R0_6_1"</v>
      </c>
    </row>
    <row r="40" customFormat="false" ht="13.8" hidden="false" customHeight="false" outlineLevel="0" collapsed="false">
      <c r="B40" s="1"/>
      <c r="C40" s="1"/>
      <c r="D40" s="1"/>
      <c r="E40" s="1"/>
      <c r="F40" s="1"/>
      <c r="G40" s="1"/>
      <c r="H40" s="1" t="s">
        <v>18</v>
      </c>
      <c r="J40" s="1" t="str">
        <f aca="false">D35</f>
        <v>_Z0_0.4302_1_R0_6_1</v>
      </c>
      <c r="K40" s="1" t="s">
        <v>19</v>
      </c>
      <c r="P40" s="1" t="str">
        <f aca="false">_xlfn.CONCAT(H40:N40)</f>
        <v>i:Sc/PhaseSpAtPhaseVol_Z0_0.4302_1_R0_6_1/OutputBufferSize            = 1000</v>
      </c>
    </row>
    <row r="41" customFormat="false" ht="13.8" hidden="false" customHeight="false" outlineLevel="0" collapsed="false">
      <c r="B41" s="1"/>
      <c r="C41" s="1"/>
      <c r="D41" s="1"/>
      <c r="E41" s="1"/>
      <c r="F41" s="1"/>
      <c r="G41" s="1"/>
      <c r="H41" s="1" t="s">
        <v>20</v>
      </c>
      <c r="J41" s="1" t="str">
        <f aca="false">D35</f>
        <v>_Z0_0.4302_1_R0_6_1</v>
      </c>
      <c r="K41" s="1" t="s">
        <v>21</v>
      </c>
      <c r="P41" s="1" t="str">
        <f aca="false">_xlfn.CONCAT(H41:N41)</f>
        <v># s:Sc/PhaseSpAtPhaseVol_Z0_0.4302_1_R0_6_1/OnlyIncludeParticlesGoing  = "In"</v>
      </c>
    </row>
    <row r="42" customFormat="false" ht="13.8" hidden="false" customHeight="false" outlineLevel="0" collapsed="false">
      <c r="B42" s="1"/>
      <c r="C42" s="1"/>
      <c r="D42" s="1"/>
      <c r="E42" s="1"/>
      <c r="F42" s="1"/>
      <c r="G42" s="1"/>
      <c r="H42" s="1" t="s">
        <v>8</v>
      </c>
      <c r="J42" s="1" t="str">
        <f aca="false">D35</f>
        <v>_Z0_0.4302_1_R0_6_1</v>
      </c>
      <c r="K42" s="1" t="s">
        <v>22</v>
      </c>
      <c r="P42" s="1" t="str">
        <f aca="false">_xlfn.CONCAT(H42:N42)</f>
        <v>b:Sc/PhaseSpAtPhaseVol_Z0_0.4302_1_R0_6_1/IncludeRunID                = "True"</v>
      </c>
    </row>
    <row r="43" customFormat="false" ht="13.8" hidden="false" customHeight="false" outlineLevel="0" collapsed="false">
      <c r="B43" s="1"/>
      <c r="C43" s="1"/>
      <c r="D43" s="1"/>
      <c r="E43" s="1"/>
      <c r="F43" s="1"/>
      <c r="G43" s="1"/>
      <c r="H43" s="1" t="s">
        <v>8</v>
      </c>
      <c r="J43" s="1" t="str">
        <f aca="false">D35</f>
        <v>_Z0_0.4302_1_R0_6_1</v>
      </c>
      <c r="K43" s="1" t="s">
        <v>23</v>
      </c>
      <c r="P43" s="1" t="str">
        <f aca="false">_xlfn.CONCAT(H43:N43)</f>
        <v>b:Sc/PhaseSpAtPhaseVol_Z0_0.4302_1_R0_6_1/IncludeEventID              = "True"</v>
      </c>
    </row>
    <row r="44" customFormat="false" ht="13.8" hidden="false" customHeight="false" outlineLevel="0" collapsed="false">
      <c r="B44" s="1"/>
      <c r="C44" s="1"/>
      <c r="D44" s="1"/>
      <c r="E44" s="1"/>
      <c r="F44" s="1"/>
      <c r="G44" s="1"/>
      <c r="H44" s="1" t="s">
        <v>8</v>
      </c>
      <c r="J44" s="1" t="str">
        <f aca="false">D35</f>
        <v>_Z0_0.4302_1_R0_6_1</v>
      </c>
      <c r="K44" s="1" t="s">
        <v>24</v>
      </c>
      <c r="P44" s="1" t="str">
        <f aca="false">_xlfn.CONCAT(H44:N44)</f>
        <v>b:Sc/PhaseSpAtPhaseVol_Z0_0.4302_1_R0_6_1/IncludeTrackID              = "True"</v>
      </c>
    </row>
    <row r="45" customFormat="false" ht="13.8" hidden="false" customHeight="false" outlineLevel="0" collapsed="false">
      <c r="B45" s="1"/>
      <c r="C45" s="1"/>
      <c r="D45" s="1"/>
      <c r="E45" s="1"/>
      <c r="F45" s="1"/>
      <c r="G45" s="1"/>
      <c r="H45" s="1" t="s">
        <v>8</v>
      </c>
      <c r="J45" s="1" t="str">
        <f aca="false">D35</f>
        <v>_Z0_0.4302_1_R0_6_1</v>
      </c>
      <c r="K45" s="1" t="s">
        <v>25</v>
      </c>
      <c r="P45" s="1" t="str">
        <f aca="false">_xlfn.CONCAT(H45:N45)</f>
        <v>b:Sc/PhaseSpAtPhaseVol_Z0_0.4302_1_R0_6_1/IncludeTime                 = "True"</v>
      </c>
    </row>
    <row r="46" customFormat="false" ht="13.8" hidden="false" customHeight="false" outlineLevel="0" collapsed="false">
      <c r="B46" s="1"/>
      <c r="C46" s="1"/>
      <c r="D46" s="1"/>
      <c r="E46" s="1"/>
      <c r="F46" s="1"/>
      <c r="G46" s="1"/>
      <c r="H46" s="1" t="s">
        <v>8</v>
      </c>
      <c r="J46" s="1" t="str">
        <f aca="false">D35</f>
        <v>_Z0_0.4302_1_R0_6_1</v>
      </c>
      <c r="K46" s="1" t="s">
        <v>26</v>
      </c>
      <c r="P46" s="1" t="str">
        <f aca="false">_xlfn.CONCAT(H46:N46)</f>
        <v>b:Sc/PhaseSpAtPhaseVol_Z0_0.4302_1_R0_6_1/IncludeSeed                 = "True"</v>
      </c>
    </row>
    <row r="47" customFormat="false" ht="13.8" hidden="false" customHeight="false" outlineLevel="0" collapsed="false">
      <c r="B47" s="1"/>
      <c r="C47" s="1"/>
      <c r="D47" s="1"/>
      <c r="E47" s="1"/>
      <c r="F47" s="1"/>
      <c r="G47" s="1"/>
      <c r="H47" s="1" t="s">
        <v>1</v>
      </c>
      <c r="J47" s="1" t="str">
        <f aca="false">D35</f>
        <v>_Z0_0.4302_1_R0_6_1</v>
      </c>
      <c r="K47" s="1" t="s">
        <v>27</v>
      </c>
      <c r="P47" s="1" t="str">
        <f aca="false">_xlfn.CONCAT(H47:N47)</f>
        <v>s:Sc/PhaseSpAtPhaseVol_Z0_0.4302_1_R0_6_1/IfOutputFileAlreadyExists   = "Overwrite" # Exit, Overwrite or Increment</v>
      </c>
    </row>
    <row r="48" customFormat="false" ht="13.8" hidden="false" customHeight="false" outlineLevel="0" collapsed="false">
      <c r="B48" s="1"/>
      <c r="C48" s="1"/>
      <c r="D48" s="1"/>
      <c r="E48" s="1"/>
      <c r="F48" s="1"/>
      <c r="G48" s="1"/>
      <c r="H48" s="1" t="s">
        <v>8</v>
      </c>
      <c r="J48" s="1" t="str">
        <f aca="false">D35</f>
        <v>_Z0_0.4302_1_R0_6_1</v>
      </c>
      <c r="K48" s="1" t="s">
        <v>28</v>
      </c>
      <c r="P48" s="1" t="str">
        <f aca="false">_xlfn.CONCAT(H48:N48)</f>
        <v>b:Sc/PhaseSpAtPhaseVol_Z0_0.4302_1_R0_6_1/OutputAfterRun              = "True"</v>
      </c>
    </row>
    <row r="49" customFormat="false" ht="13.8" hidden="false" customHeight="false" outlineLevel="0" collapsed="false">
      <c r="B49" s="1"/>
      <c r="C49" s="1"/>
      <c r="D49" s="1"/>
      <c r="E49" s="1"/>
      <c r="F49" s="1"/>
      <c r="G49" s="1"/>
      <c r="H49" s="1" t="s">
        <v>29</v>
      </c>
      <c r="J49" s="1" t="str">
        <f aca="false">D35</f>
        <v>_Z0_0.4302_1_R0_6_1</v>
      </c>
      <c r="K49" s="1" t="s">
        <v>30</v>
      </c>
      <c r="P49" s="1" t="str">
        <f aca="false">_xlfn.CONCAT(H49:N49)</f>
        <v>s:Ge/PhaseVol_Z0_0.4302_1_R0_6_1/Parent     = "World"</v>
      </c>
    </row>
    <row r="50" customFormat="false" ht="13.8" hidden="false" customHeight="false" outlineLevel="0" collapsed="false">
      <c r="B50" s="1"/>
      <c r="C50" s="1"/>
      <c r="D50" s="1"/>
      <c r="E50" s="1"/>
      <c r="F50" s="1"/>
      <c r="G50" s="1"/>
      <c r="H50" s="1" t="s">
        <v>29</v>
      </c>
      <c r="J50" s="1" t="str">
        <f aca="false">D35</f>
        <v>_Z0_0.4302_1_R0_6_1</v>
      </c>
      <c r="K50" s="1" t="s">
        <v>31</v>
      </c>
      <c r="P50" s="1" t="str">
        <f aca="false">_xlfn.CONCAT(H50:N50)</f>
        <v>s:Ge/PhaseVol_Z0_0.4302_1_R0_6_1/Type       =  "TsCylinder"</v>
      </c>
    </row>
    <row r="51" customFormat="false" ht="13.8" hidden="false" customHeight="false" outlineLevel="0" collapsed="false">
      <c r="B51" s="1"/>
      <c r="C51" s="1"/>
      <c r="D51" s="1"/>
      <c r="E51" s="1"/>
      <c r="F51" s="1"/>
      <c r="G51" s="1"/>
      <c r="H51" s="1" t="s">
        <v>29</v>
      </c>
      <c r="J51" s="1" t="str">
        <f aca="false">D35</f>
        <v>_Z0_0.4302_1_R0_6_1</v>
      </c>
      <c r="K51" s="1" t="s">
        <v>32</v>
      </c>
      <c r="P51" s="1" t="str">
        <f aca="false">_xlfn.CONCAT(H51:N51)</f>
        <v>s:Ge/PhaseVol_Z0_0.4302_1_R0_6_1/Material   = "G4_WATER"</v>
      </c>
    </row>
    <row r="52" customFormat="false" ht="13.8" hidden="false" customHeight="false" outlineLevel="0" collapsed="false">
      <c r="B52" s="1"/>
      <c r="C52" s="1"/>
      <c r="D52" s="1"/>
      <c r="E52" s="1"/>
      <c r="F52" s="1"/>
      <c r="G52" s="1"/>
      <c r="H52" s="1" t="s">
        <v>33</v>
      </c>
      <c r="J52" s="1" t="str">
        <f aca="false">D35</f>
        <v>_Z0_0.4302_1_R0_6_1</v>
      </c>
      <c r="K52" s="1" t="s">
        <v>34</v>
      </c>
      <c r="L52" s="1" t="n">
        <f aca="false">D38+E38*(F38 -1)</f>
        <v>0</v>
      </c>
      <c r="M52" s="1" t="s">
        <v>35</v>
      </c>
      <c r="P52" s="1" t="str">
        <f aca="false">_xlfn.CONCAT(H52:N52)</f>
        <v>d:Ge/PhaseVol_Z0_0.4302_1_R0_6_1/Rmin =  0 cm</v>
      </c>
    </row>
    <row r="53" customFormat="false" ht="13.8" hidden="false" customHeight="false" outlineLevel="0" collapsed="false">
      <c r="B53" s="1"/>
      <c r="C53" s="1"/>
      <c r="D53" s="1"/>
      <c r="E53" s="1"/>
      <c r="F53" s="1"/>
      <c r="G53" s="1"/>
      <c r="H53" s="1" t="s">
        <v>33</v>
      </c>
      <c r="J53" s="1" t="str">
        <f aca="false">D35</f>
        <v>_Z0_0.4302_1_R0_6_1</v>
      </c>
      <c r="K53" s="1" t="s">
        <v>36</v>
      </c>
      <c r="L53" s="2" t="n">
        <f aca="false">D38+E38*(F38 )</f>
        <v>6</v>
      </c>
      <c r="M53" s="1" t="s">
        <v>35</v>
      </c>
      <c r="P53" s="1" t="str">
        <f aca="false">_xlfn.CONCAT(H53:N53)</f>
        <v>d:Ge/PhaseVol_Z0_0.4302_1_R0_6_1/Rmax = 6 cm</v>
      </c>
    </row>
    <row r="54" customFormat="false" ht="13.8" hidden="false" customHeight="false" outlineLevel="0" collapsed="false">
      <c r="B54" s="1"/>
      <c r="C54" s="1"/>
      <c r="D54" s="1"/>
      <c r="E54" s="1"/>
      <c r="F54" s="1"/>
      <c r="G54" s="1"/>
      <c r="H54" s="1" t="s">
        <v>33</v>
      </c>
      <c r="J54" s="1" t="str">
        <f aca="false">D35</f>
        <v>_Z0_0.4302_1_R0_6_1</v>
      </c>
      <c r="K54" s="1" t="s">
        <v>37</v>
      </c>
      <c r="L54" s="1" t="n">
        <f aca="false">0.5*E37</f>
        <v>0.2151</v>
      </c>
      <c r="M54" s="1" t="s">
        <v>35</v>
      </c>
      <c r="P54" s="1" t="str">
        <f aca="false">_xlfn.CONCAT(H54:N54)</f>
        <v>d:Ge/PhaseVol_Z0_0.4302_1_R0_6_1/HL = 0.2151 cm</v>
      </c>
    </row>
    <row r="55" customFormat="false" ht="16.95" hidden="false" customHeight="true" outlineLevel="0" collapsed="false">
      <c r="B55" s="1"/>
      <c r="C55" s="1"/>
      <c r="D55" s="1"/>
      <c r="E55" s="1"/>
      <c r="F55" s="1"/>
      <c r="G55" s="1"/>
      <c r="H55" s="1" t="s">
        <v>33</v>
      </c>
      <c r="J55" s="1" t="str">
        <f aca="false">D35</f>
        <v>_Z0_0.4302_1_R0_6_1</v>
      </c>
      <c r="K55" s="3" t="s">
        <v>38</v>
      </c>
      <c r="L55" s="1" t="n">
        <v>0</v>
      </c>
      <c r="M55" s="1" t="s">
        <v>39</v>
      </c>
      <c r="P55" s="1" t="str">
        <f aca="false">_xlfn.CONCAT(H55:N55)</f>
        <v>d:Ge/PhaseVol_Z0_0.4302_1_R0_6_1/Sphi     = 0 deg</v>
      </c>
    </row>
    <row r="56" customFormat="false" ht="16.95" hidden="false" customHeight="true" outlineLevel="0" collapsed="false">
      <c r="B56" s="1"/>
      <c r="C56" s="1"/>
      <c r="D56" s="1"/>
      <c r="E56" s="1"/>
      <c r="F56" s="1"/>
      <c r="G56" s="1"/>
      <c r="H56" s="1" t="s">
        <v>33</v>
      </c>
      <c r="I56" s="1"/>
      <c r="J56" s="1" t="str">
        <f aca="false">D35</f>
        <v>_Z0_0.4302_1_R0_6_1</v>
      </c>
      <c r="K56" s="1" t="s">
        <v>40</v>
      </c>
      <c r="L56" s="1" t="n">
        <v>360</v>
      </c>
      <c r="M56" s="1" t="s">
        <v>39</v>
      </c>
      <c r="P56" s="1" t="str">
        <f aca="false">_xlfn.CONCAT(H56:N56)</f>
        <v>d:Ge/PhaseVol_Z0_0.4302_1_R0_6_1/Dphi     = 360 deg</v>
      </c>
    </row>
    <row r="57" customFormat="false" ht="16.95" hidden="false" customHeight="true" outlineLevel="0" collapsed="false">
      <c r="B57" s="1"/>
      <c r="C57" s="1"/>
      <c r="D57" s="1"/>
      <c r="E57" s="1"/>
      <c r="F57" s="1"/>
      <c r="G57" s="1"/>
      <c r="H57" s="1" t="s">
        <v>33</v>
      </c>
      <c r="J57" s="1" t="str">
        <f aca="false">D35</f>
        <v>_Z0_0.4302_1_R0_6_1</v>
      </c>
      <c r="K57" s="1" t="s">
        <v>41</v>
      </c>
      <c r="L57" s="1" t="n">
        <v>0</v>
      </c>
      <c r="M57" s="1" t="s">
        <v>35</v>
      </c>
      <c r="P57" s="1" t="str">
        <f aca="false">_xlfn.CONCAT(H57:N57)</f>
        <v>d:Ge/PhaseVol_Z0_0.4302_1_R0_6_1/TransX   =  0 cm</v>
      </c>
    </row>
    <row r="58" customFormat="false" ht="16.95" hidden="false" customHeight="true" outlineLevel="0" collapsed="false">
      <c r="B58" s="1"/>
      <c r="C58" s="1"/>
      <c r="D58" s="1"/>
      <c r="E58" s="1"/>
      <c r="F58" s="1"/>
      <c r="G58" s="1"/>
      <c r="H58" s="1" t="s">
        <v>33</v>
      </c>
      <c r="J58" s="1" t="str">
        <f aca="false">D35</f>
        <v>_Z0_0.4302_1_R0_6_1</v>
      </c>
      <c r="K58" s="1" t="s">
        <v>42</v>
      </c>
      <c r="L58" s="1" t="n">
        <v>0</v>
      </c>
      <c r="M58" s="1" t="s">
        <v>35</v>
      </c>
      <c r="P58" s="1" t="str">
        <f aca="false">_xlfn.CONCAT(H58:N58)</f>
        <v>d:Ge/PhaseVol_Z0_0.4302_1_R0_6_1/TransY   =  0 cm</v>
      </c>
    </row>
    <row r="59" customFormat="false" ht="16.95" hidden="false" customHeight="true" outlineLevel="0" collapsed="false">
      <c r="B59" s="1"/>
      <c r="C59" s="1"/>
      <c r="D59" s="1"/>
      <c r="E59" s="1"/>
      <c r="F59" s="1"/>
      <c r="G59" s="1"/>
      <c r="H59" s="1" t="s">
        <v>33</v>
      </c>
      <c r="J59" s="1" t="str">
        <f aca="false">D35</f>
        <v>_Z0_0.4302_1_R0_6_1</v>
      </c>
      <c r="K59" s="1" t="s">
        <v>43</v>
      </c>
      <c r="L59" s="1" t="n">
        <f aca="false">-1*(D37-0.5*E37+E37*(F37))</f>
        <v>-0.2151</v>
      </c>
      <c r="M59" s="1" t="s">
        <v>35</v>
      </c>
      <c r="P59" s="1" t="str">
        <f aca="false">_xlfn.CONCAT(H59:N59)</f>
        <v>d:Ge/PhaseVol_Z0_0.4302_1_R0_6_1/TransZ   =  -0.2151 cm</v>
      </c>
    </row>
    <row r="60" customFormat="false" ht="16.95" hidden="false" customHeight="true" outlineLevel="0" collapsed="false">
      <c r="B60" s="1"/>
      <c r="C60" s="1"/>
      <c r="D60" s="1"/>
      <c r="E60" s="1"/>
      <c r="F60" s="1"/>
      <c r="G60" s="1"/>
      <c r="H60" s="1" t="s">
        <v>33</v>
      </c>
      <c r="J60" s="1" t="str">
        <f aca="false">D35</f>
        <v>_Z0_0.4302_1_R0_6_1</v>
      </c>
      <c r="K60" s="1" t="s">
        <v>44</v>
      </c>
      <c r="L60" s="1" t="n">
        <v>0</v>
      </c>
      <c r="M60" s="1" t="s">
        <v>39</v>
      </c>
      <c r="P60" s="1" t="str">
        <f aca="false">_xlfn.CONCAT(H60:N60)</f>
        <v>d:Ge/PhaseVol_Z0_0.4302_1_R0_6_1/RotX     = 0 deg</v>
      </c>
    </row>
    <row r="61" customFormat="false" ht="16.95" hidden="false" customHeight="true" outlineLevel="0" collapsed="false">
      <c r="B61" s="1"/>
      <c r="C61" s="1"/>
      <c r="D61" s="1"/>
      <c r="E61" s="1"/>
      <c r="F61" s="1"/>
      <c r="G61" s="1"/>
      <c r="H61" s="1" t="s">
        <v>33</v>
      </c>
      <c r="J61" s="1" t="str">
        <f aca="false">D35</f>
        <v>_Z0_0.4302_1_R0_6_1</v>
      </c>
      <c r="K61" s="1" t="s">
        <v>45</v>
      </c>
      <c r="L61" s="1" t="n">
        <v>0</v>
      </c>
      <c r="M61" s="1" t="s">
        <v>39</v>
      </c>
      <c r="P61" s="1" t="str">
        <f aca="false">_xlfn.CONCAT(H61:N61)</f>
        <v>d:Ge/PhaseVol_Z0_0.4302_1_R0_6_1/RotY     =  0 deg</v>
      </c>
    </row>
    <row r="62" customFormat="false" ht="16.95" hidden="false" customHeight="true" outlineLevel="0" collapsed="false">
      <c r="B62" s="1"/>
      <c r="C62" s="1"/>
      <c r="D62" s="1"/>
      <c r="E62" s="1"/>
      <c r="F62" s="1"/>
      <c r="G62" s="1"/>
      <c r="H62" s="1" t="s">
        <v>33</v>
      </c>
      <c r="J62" s="1" t="str">
        <f aca="false">D35</f>
        <v>_Z0_0.4302_1_R0_6_1</v>
      </c>
      <c r="K62" s="1" t="s">
        <v>46</v>
      </c>
      <c r="L62" s="1" t="n">
        <v>0</v>
      </c>
      <c r="M62" s="1" t="s">
        <v>39</v>
      </c>
      <c r="P62" s="1" t="str">
        <f aca="false">_xlfn.CONCAT(H62:N62)</f>
        <v>d:Ge/PhaseVol_Z0_0.4302_1_R0_6_1/RotZ     = 0 deg</v>
      </c>
    </row>
    <row r="63" customFormat="false" ht="16.95" hidden="false" customHeight="true" outlineLevel="0" collapsed="false">
      <c r="B63" s="1"/>
      <c r="C63" s="1"/>
      <c r="D63" s="1"/>
      <c r="E63" s="1"/>
      <c r="F63" s="1"/>
      <c r="G63" s="1"/>
      <c r="H63" s="1" t="s">
        <v>29</v>
      </c>
      <c r="J63" s="1" t="str">
        <f aca="false">D35</f>
        <v>_Z0_0.4302_1_R0_6_1</v>
      </c>
      <c r="K63" s="1" t="s">
        <v>47</v>
      </c>
      <c r="P63" s="1" t="str">
        <f aca="false">_xlfn.CONCAT(H63:N63)</f>
        <v>s:Ge/PhaseVol_Z0_0.4302_1_R0_6_1/Color    = "blue"</v>
      </c>
    </row>
    <row r="64" customFormat="false" ht="16.95" hidden="false" customHeight="true" outlineLevel="0" collapsed="false">
      <c r="B64" s="1"/>
      <c r="C64" s="1"/>
      <c r="D64" s="1"/>
      <c r="E64" s="1"/>
      <c r="F64" s="1"/>
      <c r="G64" s="1"/>
      <c r="H64" s="1" t="s">
        <v>48</v>
      </c>
      <c r="J64" s="1" t="str">
        <f aca="false">D35</f>
        <v>_Z0_0.4302_1_R0_6_1</v>
      </c>
      <c r="K64" s="1" t="s">
        <v>49</v>
      </c>
      <c r="L64" s="4" t="n">
        <f aca="false">G37</f>
        <v>1</v>
      </c>
      <c r="P64" s="1" t="str">
        <f aca="false">_xlfn.CONCAT(H64:N64)</f>
        <v>i:Ge/PhaseVol_Z0_0.4302_1_R0_6_1/Zbins    =  1</v>
      </c>
    </row>
    <row r="65" customFormat="false" ht="13.8" hidden="false" customHeight="false" outlineLevel="0" collapsed="false">
      <c r="H65" s="1" t="s">
        <v>48</v>
      </c>
      <c r="J65" s="1" t="str">
        <f aca="false">D35</f>
        <v>_Z0_0.4302_1_R0_6_1</v>
      </c>
      <c r="K65" s="1" t="s">
        <v>50</v>
      </c>
      <c r="L65" s="4" t="n">
        <f aca="false">G38</f>
        <v>1</v>
      </c>
      <c r="P65" s="1" t="str">
        <f aca="false">_xlfn.CONCAT(H65:N65)</f>
        <v>i:Ge/PhaseVol_Z0_0.4302_1_R0_6_1/Rbins    =  1</v>
      </c>
    </row>
    <row r="66" customFormat="false" ht="13.8" hidden="false" customHeight="false" outlineLevel="0" collapsed="false">
      <c r="H66" s="1" t="s">
        <v>48</v>
      </c>
      <c r="J66" s="1" t="str">
        <f aca="false">D35</f>
        <v>_Z0_0.4302_1_R0_6_1</v>
      </c>
      <c r="K66" s="1" t="s">
        <v>51</v>
      </c>
      <c r="L66" s="4" t="n">
        <f aca="false">G39</f>
        <v>1</v>
      </c>
      <c r="P66" s="1" t="str">
        <f aca="false">_xlfn.CONCAT(H66:N66)</f>
        <v>i:Ge/PhaseVol_Z0_0.4302_1_R0_6_1/PhiBins    =  1</v>
      </c>
    </row>
    <row r="67" customFormat="false" ht="13.8" hidden="false" customHeight="false" outlineLevel="0" collapsed="false">
      <c r="B67" s="1"/>
      <c r="C67" s="1"/>
      <c r="D67" s="1"/>
      <c r="E67" s="1"/>
      <c r="F67" s="1"/>
      <c r="G67" s="1"/>
      <c r="H67" s="1"/>
      <c r="J67" s="1"/>
      <c r="K67" s="1"/>
      <c r="L67" s="1"/>
      <c r="M67" s="1"/>
      <c r="P67" s="1"/>
    </row>
    <row r="68" customFormat="false" ht="13.8" hidden="false" customHeight="false" outlineLevel="0" collapsed="false">
      <c r="C68" s="1" t="s">
        <v>0</v>
      </c>
      <c r="D68" s="1" t="str">
        <f aca="false">(IF(D70&lt;0,"_Zm","_Z"))&amp;ABS(D70)&amp;"_"&amp;E70&amp;"_"&amp;F70&amp;"_R"&amp;D71&amp;"_"&amp;E71&amp;"_"&amp;F71</f>
        <v>_Z0.4302_1.742_1_R0_6_1</v>
      </c>
      <c r="H68" s="1" t="s">
        <v>1</v>
      </c>
      <c r="J68" s="1" t="str">
        <f aca="false">D68</f>
        <v>_Z0.4302_1.742_1_R0_6_1</v>
      </c>
      <c r="K68" s="1" t="s">
        <v>2</v>
      </c>
      <c r="P68" s="1" t="str">
        <f aca="false">_xlfn.CONCAT(H68:N68)</f>
        <v>s:Sc/PhaseSpAtPhaseVol_Z0.4302_1.742_1_R0_6_1/Quantity                    = "PhaseSpace"</v>
      </c>
    </row>
    <row r="69" customFormat="false" ht="13.8" hidden="false" customHeight="false" outlineLevel="0" collapsed="false">
      <c r="B69" s="1"/>
      <c r="C69" s="1" t="s">
        <v>3</v>
      </c>
      <c r="D69" s="1" t="s">
        <v>4</v>
      </c>
      <c r="E69" s="1" t="s">
        <v>5</v>
      </c>
      <c r="F69" s="1" t="s">
        <v>6</v>
      </c>
      <c r="G69" s="1" t="s">
        <v>7</v>
      </c>
      <c r="H69" s="1" t="s">
        <v>8</v>
      </c>
      <c r="J69" s="1" t="str">
        <f aca="false">D68</f>
        <v>_Z0.4302_1.742_1_R0_6_1</v>
      </c>
      <c r="K69" s="1" t="s">
        <v>9</v>
      </c>
      <c r="P69" s="1" t="str">
        <f aca="false">_xlfn.CONCAT(H69:N69)</f>
        <v>b:Sc/PhaseSpAtPhaseVol_Z0.4302_1.742_1_R0_6_1/OutputToConsole             = "True"</v>
      </c>
    </row>
    <row r="70" customFormat="false" ht="13.8" hidden="false" customHeight="false" outlineLevel="0" collapsed="false">
      <c r="B70" s="1"/>
      <c r="C70" s="1" t="s">
        <v>10</v>
      </c>
      <c r="D70" s="1" t="n">
        <f aca="false">D37+E37</f>
        <v>0.4302</v>
      </c>
      <c r="E70" s="1" t="n">
        <v>1.742</v>
      </c>
      <c r="F70" s="1" t="n">
        <v>1</v>
      </c>
      <c r="G70" s="1" t="n">
        <v>13</v>
      </c>
      <c r="H70" s="1" t="s">
        <v>1</v>
      </c>
      <c r="J70" s="1" t="str">
        <f aca="false">D68</f>
        <v>_Z0.4302_1.742_1_R0_6_1</v>
      </c>
      <c r="K70" s="1" t="s">
        <v>11</v>
      </c>
      <c r="L70" s="1" t="str">
        <f aca="false">D68</f>
        <v>_Z0.4302_1.742_1_R0_6_1</v>
      </c>
      <c r="M70" s="1" t="s">
        <v>12</v>
      </c>
      <c r="P70" s="1" t="str">
        <f aca="false">_xlfn.CONCAT(H70:N70)</f>
        <v>s:Sc/PhaseSpAtPhaseVol_Z0.4302_1.742_1_R0_6_1/Surface                     = "PhaseVol_Z0.4302_1.742_1_R0_6_1/ZMinusSurface"</v>
      </c>
    </row>
    <row r="71" customFormat="false" ht="13.8" hidden="false" customHeight="false" outlineLevel="0" collapsed="false">
      <c r="B71" s="1"/>
      <c r="C71" s="1" t="s">
        <v>13</v>
      </c>
      <c r="D71" s="1" t="n">
        <v>0</v>
      </c>
      <c r="E71" s="1" t="n">
        <f aca="false">E38</f>
        <v>6</v>
      </c>
      <c r="F71" s="1" t="n">
        <v>1</v>
      </c>
      <c r="G71" s="1" t="n">
        <v>1</v>
      </c>
      <c r="H71" s="1" t="s">
        <v>1</v>
      </c>
      <c r="J71" s="1" t="str">
        <f aca="false">D68</f>
        <v>_Z0.4302_1.742_1_R0_6_1</v>
      </c>
      <c r="K71" s="1" t="s">
        <v>14</v>
      </c>
      <c r="P71" s="1" t="str">
        <f aca="false">_xlfn.CONCAT(H71:N71)</f>
        <v>s:Sc/PhaseSpAtPhaseVol_Z0.4302_1.742_1_R0_6_1/OutputType                  = "ASCII" # ASCII or Binary</v>
      </c>
    </row>
    <row r="72" customFormat="false" ht="13.8" hidden="false" customHeight="false" outlineLevel="0" collapsed="false">
      <c r="B72" s="1"/>
      <c r="C72" s="1" t="s">
        <v>15</v>
      </c>
      <c r="D72" s="1"/>
      <c r="E72" s="1"/>
      <c r="F72" s="1"/>
      <c r="G72" s="1" t="n">
        <v>1</v>
      </c>
      <c r="H72" s="1" t="s">
        <v>1</v>
      </c>
      <c r="J72" s="1" t="str">
        <f aca="false">D68</f>
        <v>_Z0.4302_1.742_1_R0_6_1</v>
      </c>
      <c r="K72" s="1" t="s">
        <v>16</v>
      </c>
      <c r="L72" s="1" t="str">
        <f aca="false">D68</f>
        <v>_Z0.4302_1.742_1_R0_6_1</v>
      </c>
      <c r="M72" s="1" t="s">
        <v>17</v>
      </c>
      <c r="P72" s="1" t="str">
        <f aca="false">_xlfn.CONCAT(H72:N72)</f>
        <v>s:Sc/PhaseSpAtPhaseVol_Z0.4302_1.742_1_R0_6_1/OutputFile                  = "PhaseSpASCII_Z0.4302_1.742_1_R0_6_1"</v>
      </c>
    </row>
    <row r="73" customFormat="false" ht="13.8" hidden="false" customHeight="false" outlineLevel="0" collapsed="false">
      <c r="B73" s="1"/>
      <c r="C73" s="1"/>
      <c r="D73" s="1"/>
      <c r="E73" s="1"/>
      <c r="F73" s="1"/>
      <c r="G73" s="1"/>
      <c r="H73" s="1" t="s">
        <v>18</v>
      </c>
      <c r="J73" s="1" t="str">
        <f aca="false">D68</f>
        <v>_Z0.4302_1.742_1_R0_6_1</v>
      </c>
      <c r="K73" s="1" t="s">
        <v>19</v>
      </c>
      <c r="P73" s="1" t="str">
        <f aca="false">_xlfn.CONCAT(H73:N73)</f>
        <v>i:Sc/PhaseSpAtPhaseVol_Z0.4302_1.742_1_R0_6_1/OutputBufferSize            = 1000</v>
      </c>
    </row>
    <row r="74" customFormat="false" ht="13.8" hidden="false" customHeight="false" outlineLevel="0" collapsed="false">
      <c r="B74" s="1"/>
      <c r="C74" s="1"/>
      <c r="D74" s="1"/>
      <c r="E74" s="1"/>
      <c r="F74" s="1"/>
      <c r="G74" s="1"/>
      <c r="H74" s="1" t="s">
        <v>20</v>
      </c>
      <c r="J74" s="1" t="str">
        <f aca="false">D68</f>
        <v>_Z0.4302_1.742_1_R0_6_1</v>
      </c>
      <c r="K74" s="1" t="s">
        <v>21</v>
      </c>
      <c r="P74" s="1" t="str">
        <f aca="false">_xlfn.CONCAT(H74:N74)</f>
        <v># s:Sc/PhaseSpAtPhaseVol_Z0.4302_1.742_1_R0_6_1/OnlyIncludeParticlesGoing  = "In"</v>
      </c>
    </row>
    <row r="75" customFormat="false" ht="13.8" hidden="false" customHeight="false" outlineLevel="0" collapsed="false">
      <c r="B75" s="1"/>
      <c r="C75" s="1"/>
      <c r="D75" s="1"/>
      <c r="E75" s="1"/>
      <c r="F75" s="1"/>
      <c r="G75" s="1"/>
      <c r="H75" s="1" t="s">
        <v>8</v>
      </c>
      <c r="J75" s="1" t="str">
        <f aca="false">D68</f>
        <v>_Z0.4302_1.742_1_R0_6_1</v>
      </c>
      <c r="K75" s="1" t="s">
        <v>22</v>
      </c>
      <c r="P75" s="1" t="str">
        <f aca="false">_xlfn.CONCAT(H75:N75)</f>
        <v>b:Sc/PhaseSpAtPhaseVol_Z0.4302_1.742_1_R0_6_1/IncludeRunID                = "True"</v>
      </c>
    </row>
    <row r="76" customFormat="false" ht="13.8" hidden="false" customHeight="false" outlineLevel="0" collapsed="false">
      <c r="B76" s="1"/>
      <c r="C76" s="1"/>
      <c r="D76" s="1"/>
      <c r="E76" s="1"/>
      <c r="F76" s="1"/>
      <c r="G76" s="1"/>
      <c r="H76" s="1" t="s">
        <v>8</v>
      </c>
      <c r="J76" s="1" t="str">
        <f aca="false">D68</f>
        <v>_Z0.4302_1.742_1_R0_6_1</v>
      </c>
      <c r="K76" s="1" t="s">
        <v>23</v>
      </c>
      <c r="P76" s="1" t="str">
        <f aca="false">_xlfn.CONCAT(H76:N76)</f>
        <v>b:Sc/PhaseSpAtPhaseVol_Z0.4302_1.742_1_R0_6_1/IncludeEventID              = "True"</v>
      </c>
    </row>
    <row r="77" customFormat="false" ht="13.8" hidden="false" customHeight="false" outlineLevel="0" collapsed="false">
      <c r="B77" s="1"/>
      <c r="C77" s="1"/>
      <c r="D77" s="1"/>
      <c r="E77" s="1"/>
      <c r="F77" s="1"/>
      <c r="G77" s="1"/>
      <c r="H77" s="1" t="s">
        <v>8</v>
      </c>
      <c r="J77" s="1" t="str">
        <f aca="false">D68</f>
        <v>_Z0.4302_1.742_1_R0_6_1</v>
      </c>
      <c r="K77" s="1" t="s">
        <v>24</v>
      </c>
      <c r="P77" s="1" t="str">
        <f aca="false">_xlfn.CONCAT(H77:N77)</f>
        <v>b:Sc/PhaseSpAtPhaseVol_Z0.4302_1.742_1_R0_6_1/IncludeTrackID              = "True"</v>
      </c>
    </row>
    <row r="78" customFormat="false" ht="13.8" hidden="false" customHeight="false" outlineLevel="0" collapsed="false">
      <c r="B78" s="1"/>
      <c r="C78" s="1"/>
      <c r="D78" s="1"/>
      <c r="E78" s="1"/>
      <c r="F78" s="1"/>
      <c r="G78" s="1"/>
      <c r="H78" s="1" t="s">
        <v>8</v>
      </c>
      <c r="J78" s="1" t="str">
        <f aca="false">D68</f>
        <v>_Z0.4302_1.742_1_R0_6_1</v>
      </c>
      <c r="K78" s="1" t="s">
        <v>25</v>
      </c>
      <c r="P78" s="1" t="str">
        <f aca="false">_xlfn.CONCAT(H78:N78)</f>
        <v>b:Sc/PhaseSpAtPhaseVol_Z0.4302_1.742_1_R0_6_1/IncludeTime                 = "True"</v>
      </c>
    </row>
    <row r="79" customFormat="false" ht="13.8" hidden="false" customHeight="false" outlineLevel="0" collapsed="false">
      <c r="B79" s="1"/>
      <c r="C79" s="1"/>
      <c r="D79" s="1"/>
      <c r="E79" s="1"/>
      <c r="F79" s="1"/>
      <c r="G79" s="1"/>
      <c r="H79" s="1" t="s">
        <v>8</v>
      </c>
      <c r="J79" s="1" t="str">
        <f aca="false">D68</f>
        <v>_Z0.4302_1.742_1_R0_6_1</v>
      </c>
      <c r="K79" s="1" t="s">
        <v>26</v>
      </c>
      <c r="P79" s="1" t="str">
        <f aca="false">_xlfn.CONCAT(H79:N79)</f>
        <v>b:Sc/PhaseSpAtPhaseVol_Z0.4302_1.742_1_R0_6_1/IncludeSeed                 = "True"</v>
      </c>
    </row>
    <row r="80" customFormat="false" ht="13.8" hidden="false" customHeight="false" outlineLevel="0" collapsed="false">
      <c r="B80" s="1"/>
      <c r="C80" s="1"/>
      <c r="D80" s="1"/>
      <c r="E80" s="1"/>
      <c r="F80" s="1"/>
      <c r="G80" s="1"/>
      <c r="H80" s="1" t="s">
        <v>1</v>
      </c>
      <c r="J80" s="1" t="str">
        <f aca="false">D68</f>
        <v>_Z0.4302_1.742_1_R0_6_1</v>
      </c>
      <c r="K80" s="1" t="s">
        <v>27</v>
      </c>
      <c r="P80" s="1" t="str">
        <f aca="false">_xlfn.CONCAT(H80:N80)</f>
        <v>s:Sc/PhaseSpAtPhaseVol_Z0.4302_1.742_1_R0_6_1/IfOutputFileAlreadyExists   = "Overwrite" # Exit, Overwrite or Increment</v>
      </c>
    </row>
    <row r="81" customFormat="false" ht="13.8" hidden="false" customHeight="false" outlineLevel="0" collapsed="false">
      <c r="B81" s="1"/>
      <c r="C81" s="1"/>
      <c r="D81" s="1"/>
      <c r="E81" s="1"/>
      <c r="F81" s="1"/>
      <c r="G81" s="1"/>
      <c r="H81" s="1" t="s">
        <v>8</v>
      </c>
      <c r="J81" s="1" t="str">
        <f aca="false">D68</f>
        <v>_Z0.4302_1.742_1_R0_6_1</v>
      </c>
      <c r="K81" s="1" t="s">
        <v>28</v>
      </c>
      <c r="P81" s="1" t="str">
        <f aca="false">_xlfn.CONCAT(H81:N81)</f>
        <v>b:Sc/PhaseSpAtPhaseVol_Z0.4302_1.742_1_R0_6_1/OutputAfterRun              = "True"</v>
      </c>
    </row>
    <row r="82" customFormat="false" ht="13.8" hidden="false" customHeight="false" outlineLevel="0" collapsed="false">
      <c r="B82" s="1"/>
      <c r="C82" s="1"/>
      <c r="D82" s="1"/>
      <c r="E82" s="1"/>
      <c r="F82" s="1"/>
      <c r="G82" s="1"/>
      <c r="H82" s="1" t="s">
        <v>29</v>
      </c>
      <c r="J82" s="1" t="str">
        <f aca="false">D68</f>
        <v>_Z0.4302_1.742_1_R0_6_1</v>
      </c>
      <c r="K82" s="1" t="s">
        <v>30</v>
      </c>
      <c r="P82" s="1" t="str">
        <f aca="false">_xlfn.CONCAT(H82:N82)</f>
        <v>s:Ge/PhaseVol_Z0.4302_1.742_1_R0_6_1/Parent     = "World"</v>
      </c>
    </row>
    <row r="83" customFormat="false" ht="13.8" hidden="false" customHeight="false" outlineLevel="0" collapsed="false">
      <c r="B83" s="1"/>
      <c r="C83" s="1"/>
      <c r="D83" s="1"/>
      <c r="E83" s="1"/>
      <c r="F83" s="1"/>
      <c r="G83" s="1"/>
      <c r="H83" s="1" t="s">
        <v>29</v>
      </c>
      <c r="J83" s="1" t="str">
        <f aca="false">D68</f>
        <v>_Z0.4302_1.742_1_R0_6_1</v>
      </c>
      <c r="K83" s="1" t="s">
        <v>31</v>
      </c>
      <c r="P83" s="1" t="str">
        <f aca="false">_xlfn.CONCAT(H83:N83)</f>
        <v>s:Ge/PhaseVol_Z0.4302_1.742_1_R0_6_1/Type       =  "TsCylinder"</v>
      </c>
    </row>
    <row r="84" customFormat="false" ht="13.8" hidden="false" customHeight="false" outlineLevel="0" collapsed="false">
      <c r="B84" s="1"/>
      <c r="C84" s="1"/>
      <c r="D84" s="1"/>
      <c r="E84" s="1"/>
      <c r="F84" s="1"/>
      <c r="G84" s="1"/>
      <c r="H84" s="1" t="s">
        <v>29</v>
      </c>
      <c r="J84" s="1" t="str">
        <f aca="false">D68</f>
        <v>_Z0.4302_1.742_1_R0_6_1</v>
      </c>
      <c r="K84" s="1" t="s">
        <v>32</v>
      </c>
      <c r="P84" s="1" t="str">
        <f aca="false">_xlfn.CONCAT(H84:N84)</f>
        <v>s:Ge/PhaseVol_Z0.4302_1.742_1_R0_6_1/Material   = "G4_WATER"</v>
      </c>
    </row>
    <row r="85" customFormat="false" ht="13.8" hidden="false" customHeight="false" outlineLevel="0" collapsed="false">
      <c r="B85" s="1"/>
      <c r="C85" s="1"/>
      <c r="D85" s="1"/>
      <c r="E85" s="1"/>
      <c r="F85" s="1"/>
      <c r="G85" s="1"/>
      <c r="H85" s="1" t="s">
        <v>33</v>
      </c>
      <c r="J85" s="1" t="str">
        <f aca="false">D68</f>
        <v>_Z0.4302_1.742_1_R0_6_1</v>
      </c>
      <c r="K85" s="1" t="s">
        <v>34</v>
      </c>
      <c r="L85" s="1" t="n">
        <f aca="false">D71+E71*(F71 -1)</f>
        <v>0</v>
      </c>
      <c r="M85" s="1" t="s">
        <v>35</v>
      </c>
      <c r="P85" s="1" t="str">
        <f aca="false">_xlfn.CONCAT(H85:N85)</f>
        <v>d:Ge/PhaseVol_Z0.4302_1.742_1_R0_6_1/Rmin =  0 cm</v>
      </c>
    </row>
    <row r="86" customFormat="false" ht="13.8" hidden="false" customHeight="false" outlineLevel="0" collapsed="false">
      <c r="B86" s="1"/>
      <c r="C86" s="1"/>
      <c r="D86" s="1"/>
      <c r="E86" s="1"/>
      <c r="F86" s="1"/>
      <c r="G86" s="1"/>
      <c r="H86" s="1" t="s">
        <v>33</v>
      </c>
      <c r="J86" s="1" t="str">
        <f aca="false">D68</f>
        <v>_Z0.4302_1.742_1_R0_6_1</v>
      </c>
      <c r="K86" s="1" t="s">
        <v>36</v>
      </c>
      <c r="L86" s="2" t="n">
        <f aca="false">D71+E71*(F71 )</f>
        <v>6</v>
      </c>
      <c r="M86" s="1" t="s">
        <v>35</v>
      </c>
      <c r="P86" s="1" t="str">
        <f aca="false">_xlfn.CONCAT(H86:N86)</f>
        <v>d:Ge/PhaseVol_Z0.4302_1.742_1_R0_6_1/Rmax = 6 cm</v>
      </c>
    </row>
    <row r="87" customFormat="false" ht="13.8" hidden="false" customHeight="false" outlineLevel="0" collapsed="false">
      <c r="B87" s="1"/>
      <c r="C87" s="1"/>
      <c r="D87" s="1"/>
      <c r="E87" s="1"/>
      <c r="F87" s="1"/>
      <c r="G87" s="1"/>
      <c r="H87" s="1" t="s">
        <v>33</v>
      </c>
      <c r="J87" s="1" t="str">
        <f aca="false">D68</f>
        <v>_Z0.4302_1.742_1_R0_6_1</v>
      </c>
      <c r="K87" s="1" t="s">
        <v>37</v>
      </c>
      <c r="L87" s="1" t="n">
        <f aca="false">0.5*E70</f>
        <v>0.871</v>
      </c>
      <c r="M87" s="1" t="s">
        <v>35</v>
      </c>
      <c r="P87" s="1" t="str">
        <f aca="false">_xlfn.CONCAT(H87:N87)</f>
        <v>d:Ge/PhaseVol_Z0.4302_1.742_1_R0_6_1/HL = 0.871 cm</v>
      </c>
    </row>
    <row r="88" customFormat="false" ht="16.95" hidden="false" customHeight="true" outlineLevel="0" collapsed="false">
      <c r="B88" s="1"/>
      <c r="C88" s="1"/>
      <c r="D88" s="1"/>
      <c r="E88" s="1"/>
      <c r="F88" s="1"/>
      <c r="G88" s="1"/>
      <c r="H88" s="1" t="s">
        <v>33</v>
      </c>
      <c r="J88" s="1" t="str">
        <f aca="false">D68</f>
        <v>_Z0.4302_1.742_1_R0_6_1</v>
      </c>
      <c r="K88" s="3" t="s">
        <v>38</v>
      </c>
      <c r="L88" s="1" t="n">
        <v>0</v>
      </c>
      <c r="M88" s="1" t="s">
        <v>39</v>
      </c>
      <c r="P88" s="1" t="str">
        <f aca="false">_xlfn.CONCAT(H88:N88)</f>
        <v>d:Ge/PhaseVol_Z0.4302_1.742_1_R0_6_1/Sphi     = 0 deg</v>
      </c>
    </row>
    <row r="89" customFormat="false" ht="16.95" hidden="false" customHeight="true" outlineLevel="0" collapsed="false">
      <c r="B89" s="1"/>
      <c r="C89" s="1"/>
      <c r="D89" s="1"/>
      <c r="E89" s="1"/>
      <c r="F89" s="1"/>
      <c r="G89" s="1"/>
      <c r="H89" s="1" t="s">
        <v>33</v>
      </c>
      <c r="I89" s="1"/>
      <c r="J89" s="1" t="str">
        <f aca="false">D68</f>
        <v>_Z0.4302_1.742_1_R0_6_1</v>
      </c>
      <c r="K89" s="1" t="s">
        <v>40</v>
      </c>
      <c r="L89" s="1" t="n">
        <v>360</v>
      </c>
      <c r="M89" s="1" t="s">
        <v>39</v>
      </c>
      <c r="P89" s="1" t="str">
        <f aca="false">_xlfn.CONCAT(H89:N89)</f>
        <v>d:Ge/PhaseVol_Z0.4302_1.742_1_R0_6_1/Dphi     = 360 deg</v>
      </c>
    </row>
    <row r="90" customFormat="false" ht="16.95" hidden="false" customHeight="true" outlineLevel="0" collapsed="false">
      <c r="B90" s="1"/>
      <c r="C90" s="1"/>
      <c r="D90" s="1"/>
      <c r="E90" s="1"/>
      <c r="F90" s="1"/>
      <c r="G90" s="1"/>
      <c r="H90" s="1" t="s">
        <v>33</v>
      </c>
      <c r="J90" s="1" t="str">
        <f aca="false">D68</f>
        <v>_Z0.4302_1.742_1_R0_6_1</v>
      </c>
      <c r="K90" s="1" t="s">
        <v>41</v>
      </c>
      <c r="L90" s="1" t="n">
        <v>0</v>
      </c>
      <c r="M90" s="1" t="s">
        <v>35</v>
      </c>
      <c r="P90" s="1" t="str">
        <f aca="false">_xlfn.CONCAT(H90:N90)</f>
        <v>d:Ge/PhaseVol_Z0.4302_1.742_1_R0_6_1/TransX   =  0 cm</v>
      </c>
    </row>
    <row r="91" customFormat="false" ht="16.95" hidden="false" customHeight="true" outlineLevel="0" collapsed="false">
      <c r="B91" s="1"/>
      <c r="C91" s="1"/>
      <c r="D91" s="1"/>
      <c r="E91" s="1"/>
      <c r="F91" s="1"/>
      <c r="G91" s="1"/>
      <c r="H91" s="1" t="s">
        <v>33</v>
      </c>
      <c r="J91" s="1" t="str">
        <f aca="false">D68</f>
        <v>_Z0.4302_1.742_1_R0_6_1</v>
      </c>
      <c r="K91" s="1" t="s">
        <v>42</v>
      </c>
      <c r="L91" s="1" t="n">
        <v>0</v>
      </c>
      <c r="M91" s="1" t="s">
        <v>35</v>
      </c>
      <c r="P91" s="1" t="str">
        <f aca="false">_xlfn.CONCAT(H91:N91)</f>
        <v>d:Ge/PhaseVol_Z0.4302_1.742_1_R0_6_1/TransY   =  0 cm</v>
      </c>
    </row>
    <row r="92" customFormat="false" ht="16.95" hidden="false" customHeight="true" outlineLevel="0" collapsed="false">
      <c r="B92" s="1"/>
      <c r="C92" s="1"/>
      <c r="D92" s="1"/>
      <c r="E92" s="1"/>
      <c r="F92" s="1"/>
      <c r="G92" s="1"/>
      <c r="H92" s="1" t="s">
        <v>33</v>
      </c>
      <c r="J92" s="1" t="str">
        <f aca="false">D68</f>
        <v>_Z0.4302_1.742_1_R0_6_1</v>
      </c>
      <c r="K92" s="1" t="s">
        <v>43</v>
      </c>
      <c r="L92" s="1" t="n">
        <f aca="false">-1*(D70-0.5*E70+E70*(F70))</f>
        <v>-1.3012</v>
      </c>
      <c r="M92" s="1" t="s">
        <v>35</v>
      </c>
      <c r="P92" s="1" t="str">
        <f aca="false">_xlfn.CONCAT(H92:N92)</f>
        <v>d:Ge/PhaseVol_Z0.4302_1.742_1_R0_6_1/TransZ   =  -1.3012 cm</v>
      </c>
    </row>
    <row r="93" customFormat="false" ht="16.95" hidden="false" customHeight="true" outlineLevel="0" collapsed="false">
      <c r="B93" s="1"/>
      <c r="C93" s="1"/>
      <c r="D93" s="1"/>
      <c r="E93" s="1"/>
      <c r="F93" s="1"/>
      <c r="G93" s="1"/>
      <c r="H93" s="1" t="s">
        <v>33</v>
      </c>
      <c r="J93" s="1" t="str">
        <f aca="false">D68</f>
        <v>_Z0.4302_1.742_1_R0_6_1</v>
      </c>
      <c r="K93" s="1" t="s">
        <v>44</v>
      </c>
      <c r="L93" s="1" t="n">
        <v>0</v>
      </c>
      <c r="M93" s="1" t="s">
        <v>39</v>
      </c>
      <c r="P93" s="1" t="str">
        <f aca="false">_xlfn.CONCAT(H93:N93)</f>
        <v>d:Ge/PhaseVol_Z0.4302_1.742_1_R0_6_1/RotX     = 0 deg</v>
      </c>
    </row>
    <row r="94" customFormat="false" ht="16.95" hidden="false" customHeight="true" outlineLevel="0" collapsed="false">
      <c r="B94" s="1"/>
      <c r="C94" s="1"/>
      <c r="D94" s="1"/>
      <c r="E94" s="1"/>
      <c r="F94" s="1"/>
      <c r="G94" s="1"/>
      <c r="H94" s="1" t="s">
        <v>33</v>
      </c>
      <c r="J94" s="1" t="str">
        <f aca="false">D68</f>
        <v>_Z0.4302_1.742_1_R0_6_1</v>
      </c>
      <c r="K94" s="1" t="s">
        <v>45</v>
      </c>
      <c r="L94" s="1" t="n">
        <v>0</v>
      </c>
      <c r="M94" s="1" t="s">
        <v>39</v>
      </c>
      <c r="P94" s="1" t="str">
        <f aca="false">_xlfn.CONCAT(H94:N94)</f>
        <v>d:Ge/PhaseVol_Z0.4302_1.742_1_R0_6_1/RotY     =  0 deg</v>
      </c>
    </row>
    <row r="95" customFormat="false" ht="16.95" hidden="false" customHeight="true" outlineLevel="0" collapsed="false">
      <c r="B95" s="1"/>
      <c r="C95" s="1"/>
      <c r="D95" s="1"/>
      <c r="E95" s="1"/>
      <c r="F95" s="1"/>
      <c r="G95" s="1"/>
      <c r="H95" s="1" t="s">
        <v>33</v>
      </c>
      <c r="J95" s="1" t="str">
        <f aca="false">D68</f>
        <v>_Z0.4302_1.742_1_R0_6_1</v>
      </c>
      <c r="K95" s="1" t="s">
        <v>46</v>
      </c>
      <c r="L95" s="1" t="n">
        <v>0</v>
      </c>
      <c r="M95" s="1" t="s">
        <v>39</v>
      </c>
      <c r="P95" s="1" t="str">
        <f aca="false">_xlfn.CONCAT(H95:N95)</f>
        <v>d:Ge/PhaseVol_Z0.4302_1.742_1_R0_6_1/RotZ     = 0 deg</v>
      </c>
    </row>
    <row r="96" customFormat="false" ht="16.95" hidden="false" customHeight="true" outlineLevel="0" collapsed="false">
      <c r="B96" s="1"/>
      <c r="C96" s="1"/>
      <c r="D96" s="1"/>
      <c r="E96" s="1"/>
      <c r="F96" s="1"/>
      <c r="G96" s="1"/>
      <c r="H96" s="1" t="s">
        <v>29</v>
      </c>
      <c r="J96" s="1" t="str">
        <f aca="false">D68</f>
        <v>_Z0.4302_1.742_1_R0_6_1</v>
      </c>
      <c r="K96" s="1" t="s">
        <v>47</v>
      </c>
      <c r="P96" s="1" t="str">
        <f aca="false">_xlfn.CONCAT(H96:N96)</f>
        <v>s:Ge/PhaseVol_Z0.4302_1.742_1_R0_6_1/Color    = "blue"</v>
      </c>
    </row>
    <row r="97" customFormat="false" ht="16.95" hidden="false" customHeight="true" outlineLevel="0" collapsed="false">
      <c r="B97" s="1"/>
      <c r="C97" s="1"/>
      <c r="D97" s="1"/>
      <c r="E97" s="1"/>
      <c r="F97" s="1"/>
      <c r="G97" s="1"/>
      <c r="H97" s="1" t="s">
        <v>48</v>
      </c>
      <c r="J97" s="1" t="str">
        <f aca="false">D68</f>
        <v>_Z0.4302_1.742_1_R0_6_1</v>
      </c>
      <c r="K97" s="1" t="s">
        <v>49</v>
      </c>
      <c r="L97" s="4" t="n">
        <f aca="false">G70</f>
        <v>13</v>
      </c>
      <c r="P97" s="1" t="str">
        <f aca="false">_xlfn.CONCAT(H97:N97)</f>
        <v>i:Ge/PhaseVol_Z0.4302_1.742_1_R0_6_1/Zbins    =  13</v>
      </c>
    </row>
    <row r="98" customFormat="false" ht="13.8" hidden="false" customHeight="false" outlineLevel="0" collapsed="false">
      <c r="H98" s="1" t="s">
        <v>48</v>
      </c>
      <c r="J98" s="1" t="str">
        <f aca="false">D68</f>
        <v>_Z0.4302_1.742_1_R0_6_1</v>
      </c>
      <c r="K98" s="1" t="s">
        <v>50</v>
      </c>
      <c r="L98" s="4" t="n">
        <f aca="false">G71</f>
        <v>1</v>
      </c>
      <c r="P98" s="1" t="str">
        <f aca="false">_xlfn.CONCAT(H98:N98)</f>
        <v>i:Ge/PhaseVol_Z0.4302_1.742_1_R0_6_1/Rbins    =  1</v>
      </c>
    </row>
    <row r="99" customFormat="false" ht="13.8" hidden="false" customHeight="false" outlineLevel="0" collapsed="false">
      <c r="H99" s="1" t="s">
        <v>48</v>
      </c>
      <c r="J99" s="1" t="str">
        <f aca="false">D68</f>
        <v>_Z0.4302_1.742_1_R0_6_1</v>
      </c>
      <c r="K99" s="1" t="s">
        <v>51</v>
      </c>
      <c r="L99" s="4" t="n">
        <f aca="false">G72</f>
        <v>1</v>
      </c>
      <c r="P99" s="1" t="str">
        <f aca="false">_xlfn.CONCAT(H99:N99)</f>
        <v>i:Ge/PhaseVol_Z0.4302_1.742_1_R0_6_1/PhiBins    =  1</v>
      </c>
    </row>
    <row r="100" customFormat="false" ht="13.8" hidden="false" customHeight="false" outlineLevel="0" collapsed="false">
      <c r="B100" s="1"/>
      <c r="C100" s="1"/>
      <c r="D100" s="1"/>
      <c r="E100" s="1"/>
      <c r="F100" s="1"/>
      <c r="G100" s="1"/>
      <c r="H100" s="1"/>
      <c r="J100" s="1"/>
      <c r="K100" s="1"/>
      <c r="P100" s="1"/>
    </row>
    <row r="101" customFormat="false" ht="13.8" hidden="false" customHeight="false" outlineLevel="0" collapsed="false">
      <c r="C101" s="1" t="s">
        <v>0</v>
      </c>
      <c r="D101" s="1" t="str">
        <f aca="false">(IF(D103&lt;0,"_Zm","_Z"))&amp;ABS(D103)&amp;"_"&amp;E103&amp;"_"&amp;F103&amp;"_R"&amp;D104&amp;"_"&amp;E104&amp;"_"&amp;F104</f>
        <v>_Z2.1722_0.5628_1_R0_6_1</v>
      </c>
      <c r="H101" s="1" t="s">
        <v>1</v>
      </c>
      <c r="J101" s="1" t="str">
        <f aca="false">D101</f>
        <v>_Z2.1722_0.5628_1_R0_6_1</v>
      </c>
      <c r="K101" s="1" t="s">
        <v>2</v>
      </c>
      <c r="P101" s="1" t="str">
        <f aca="false">_xlfn.CONCAT(H101:N101)</f>
        <v>s:Sc/PhaseSpAtPhaseVol_Z2.1722_0.5628_1_R0_6_1/Quantity                    = "PhaseSpace"</v>
      </c>
    </row>
    <row r="102" customFormat="false" ht="13.8" hidden="false" customHeight="false" outlineLevel="0" collapsed="false">
      <c r="B102" s="1"/>
      <c r="C102" s="1" t="s">
        <v>3</v>
      </c>
      <c r="D102" s="1" t="s">
        <v>4</v>
      </c>
      <c r="E102" s="1" t="s">
        <v>5</v>
      </c>
      <c r="F102" s="1" t="s">
        <v>6</v>
      </c>
      <c r="G102" s="1" t="s">
        <v>7</v>
      </c>
      <c r="H102" s="1" t="s">
        <v>8</v>
      </c>
      <c r="J102" s="1" t="str">
        <f aca="false">D101</f>
        <v>_Z2.1722_0.5628_1_R0_6_1</v>
      </c>
      <c r="K102" s="1" t="s">
        <v>9</v>
      </c>
      <c r="P102" s="1" t="str">
        <f aca="false">_xlfn.CONCAT(H102:N102)</f>
        <v>b:Sc/PhaseSpAtPhaseVol_Z2.1722_0.5628_1_R0_6_1/OutputToConsole             = "True"</v>
      </c>
    </row>
    <row r="103" customFormat="false" ht="13.8" hidden="false" customHeight="false" outlineLevel="0" collapsed="false">
      <c r="B103" s="1"/>
      <c r="C103" s="1" t="s">
        <v>10</v>
      </c>
      <c r="D103" s="1" t="n">
        <f aca="false">D70+E70</f>
        <v>2.1722</v>
      </c>
      <c r="E103" s="1" t="n">
        <v>0.5628</v>
      </c>
      <c r="F103" s="1" t="n">
        <v>1</v>
      </c>
      <c r="G103" s="1" t="n">
        <v>21</v>
      </c>
      <c r="H103" s="1" t="s">
        <v>1</v>
      </c>
      <c r="J103" s="1" t="str">
        <f aca="false">D101</f>
        <v>_Z2.1722_0.5628_1_R0_6_1</v>
      </c>
      <c r="K103" s="1" t="s">
        <v>11</v>
      </c>
      <c r="L103" s="1" t="str">
        <f aca="false">D101</f>
        <v>_Z2.1722_0.5628_1_R0_6_1</v>
      </c>
      <c r="M103" s="1" t="s">
        <v>12</v>
      </c>
      <c r="P103" s="1" t="str">
        <f aca="false">_xlfn.CONCAT(H103:N103)</f>
        <v>s:Sc/PhaseSpAtPhaseVol_Z2.1722_0.5628_1_R0_6_1/Surface                     = "PhaseVol_Z2.1722_0.5628_1_R0_6_1/ZMinusSurface"</v>
      </c>
    </row>
    <row r="104" customFormat="false" ht="13.8" hidden="false" customHeight="false" outlineLevel="0" collapsed="false">
      <c r="B104" s="1"/>
      <c r="C104" s="1" t="s">
        <v>13</v>
      </c>
      <c r="D104" s="1" t="n">
        <v>0</v>
      </c>
      <c r="E104" s="1" t="n">
        <f aca="false">E71</f>
        <v>6</v>
      </c>
      <c r="F104" s="1" t="n">
        <v>1</v>
      </c>
      <c r="G104" s="1" t="n">
        <v>1</v>
      </c>
      <c r="H104" s="1" t="s">
        <v>1</v>
      </c>
      <c r="J104" s="1" t="str">
        <f aca="false">D101</f>
        <v>_Z2.1722_0.5628_1_R0_6_1</v>
      </c>
      <c r="K104" s="1" t="s">
        <v>14</v>
      </c>
      <c r="P104" s="1" t="str">
        <f aca="false">_xlfn.CONCAT(H104:N104)</f>
        <v>s:Sc/PhaseSpAtPhaseVol_Z2.1722_0.5628_1_R0_6_1/OutputType                  = "ASCII" # ASCII or Binary</v>
      </c>
    </row>
    <row r="105" customFormat="false" ht="13.8" hidden="false" customHeight="false" outlineLevel="0" collapsed="false">
      <c r="B105" s="1"/>
      <c r="C105" s="1" t="s">
        <v>15</v>
      </c>
      <c r="D105" s="1"/>
      <c r="E105" s="1"/>
      <c r="F105" s="1"/>
      <c r="G105" s="1" t="n">
        <v>1</v>
      </c>
      <c r="H105" s="1" t="s">
        <v>1</v>
      </c>
      <c r="J105" s="1" t="str">
        <f aca="false">D101</f>
        <v>_Z2.1722_0.5628_1_R0_6_1</v>
      </c>
      <c r="K105" s="1" t="s">
        <v>16</v>
      </c>
      <c r="L105" s="1" t="str">
        <f aca="false">D101</f>
        <v>_Z2.1722_0.5628_1_R0_6_1</v>
      </c>
      <c r="M105" s="1" t="s">
        <v>17</v>
      </c>
      <c r="P105" s="1" t="str">
        <f aca="false">_xlfn.CONCAT(H105:N105)</f>
        <v>s:Sc/PhaseSpAtPhaseVol_Z2.1722_0.5628_1_R0_6_1/OutputFile                  = "PhaseSpASCII_Z2.1722_0.5628_1_R0_6_1"</v>
      </c>
    </row>
    <row r="106" customFormat="false" ht="13.8" hidden="false" customHeight="false" outlineLevel="0" collapsed="false">
      <c r="B106" s="1"/>
      <c r="C106" s="1"/>
      <c r="D106" s="1"/>
      <c r="E106" s="1"/>
      <c r="F106" s="1"/>
      <c r="G106" s="1"/>
      <c r="H106" s="1" t="s">
        <v>18</v>
      </c>
      <c r="J106" s="1" t="str">
        <f aca="false">D101</f>
        <v>_Z2.1722_0.5628_1_R0_6_1</v>
      </c>
      <c r="K106" s="1" t="s">
        <v>19</v>
      </c>
      <c r="P106" s="1" t="str">
        <f aca="false">_xlfn.CONCAT(H106:N106)</f>
        <v>i:Sc/PhaseSpAtPhaseVol_Z2.1722_0.5628_1_R0_6_1/OutputBufferSize            = 1000</v>
      </c>
    </row>
    <row r="107" customFormat="false" ht="13.8" hidden="false" customHeight="false" outlineLevel="0" collapsed="false">
      <c r="B107" s="1"/>
      <c r="C107" s="1"/>
      <c r="D107" s="1"/>
      <c r="E107" s="1"/>
      <c r="F107" s="1"/>
      <c r="G107" s="1"/>
      <c r="H107" s="1" t="s">
        <v>20</v>
      </c>
      <c r="J107" s="1" t="str">
        <f aca="false">D101</f>
        <v>_Z2.1722_0.5628_1_R0_6_1</v>
      </c>
      <c r="K107" s="1" t="s">
        <v>21</v>
      </c>
      <c r="P107" s="1" t="str">
        <f aca="false">_xlfn.CONCAT(H107:N107)</f>
        <v># s:Sc/PhaseSpAtPhaseVol_Z2.1722_0.5628_1_R0_6_1/OnlyIncludeParticlesGoing  = "In"</v>
      </c>
    </row>
    <row r="108" customFormat="false" ht="13.8" hidden="false" customHeight="false" outlineLevel="0" collapsed="false">
      <c r="B108" s="1"/>
      <c r="C108" s="1"/>
      <c r="D108" s="1"/>
      <c r="E108" s="1"/>
      <c r="F108" s="1"/>
      <c r="G108" s="1"/>
      <c r="H108" s="1" t="s">
        <v>8</v>
      </c>
      <c r="J108" s="1" t="str">
        <f aca="false">D101</f>
        <v>_Z2.1722_0.5628_1_R0_6_1</v>
      </c>
      <c r="K108" s="1" t="s">
        <v>22</v>
      </c>
      <c r="P108" s="1" t="str">
        <f aca="false">_xlfn.CONCAT(H108:N108)</f>
        <v>b:Sc/PhaseSpAtPhaseVol_Z2.1722_0.5628_1_R0_6_1/IncludeRunID                = "True"</v>
      </c>
    </row>
    <row r="109" customFormat="false" ht="13.8" hidden="false" customHeight="false" outlineLevel="0" collapsed="false">
      <c r="B109" s="1"/>
      <c r="C109" s="1"/>
      <c r="D109" s="1"/>
      <c r="E109" s="1"/>
      <c r="F109" s="1"/>
      <c r="G109" s="1"/>
      <c r="H109" s="1" t="s">
        <v>8</v>
      </c>
      <c r="J109" s="1" t="str">
        <f aca="false">D101</f>
        <v>_Z2.1722_0.5628_1_R0_6_1</v>
      </c>
      <c r="K109" s="1" t="s">
        <v>23</v>
      </c>
      <c r="P109" s="1" t="str">
        <f aca="false">_xlfn.CONCAT(H109:N109)</f>
        <v>b:Sc/PhaseSpAtPhaseVol_Z2.1722_0.5628_1_R0_6_1/IncludeEventID              = "True"</v>
      </c>
    </row>
    <row r="110" customFormat="false" ht="13.8" hidden="false" customHeight="false" outlineLevel="0" collapsed="false">
      <c r="B110" s="1"/>
      <c r="C110" s="1"/>
      <c r="D110" s="1"/>
      <c r="E110" s="1"/>
      <c r="F110" s="1"/>
      <c r="G110" s="1"/>
      <c r="H110" s="1" t="s">
        <v>8</v>
      </c>
      <c r="J110" s="1" t="str">
        <f aca="false">D101</f>
        <v>_Z2.1722_0.5628_1_R0_6_1</v>
      </c>
      <c r="K110" s="1" t="s">
        <v>24</v>
      </c>
      <c r="P110" s="1" t="str">
        <f aca="false">_xlfn.CONCAT(H110:N110)</f>
        <v>b:Sc/PhaseSpAtPhaseVol_Z2.1722_0.5628_1_R0_6_1/IncludeTrackID              = "True"</v>
      </c>
    </row>
    <row r="111" customFormat="false" ht="13.8" hidden="false" customHeight="false" outlineLevel="0" collapsed="false">
      <c r="B111" s="1"/>
      <c r="C111" s="1"/>
      <c r="D111" s="1"/>
      <c r="E111" s="1"/>
      <c r="F111" s="1"/>
      <c r="G111" s="1"/>
      <c r="H111" s="1" t="s">
        <v>8</v>
      </c>
      <c r="J111" s="1" t="str">
        <f aca="false">D101</f>
        <v>_Z2.1722_0.5628_1_R0_6_1</v>
      </c>
      <c r="K111" s="1" t="s">
        <v>25</v>
      </c>
      <c r="P111" s="1" t="str">
        <f aca="false">_xlfn.CONCAT(H111:N111)</f>
        <v>b:Sc/PhaseSpAtPhaseVol_Z2.1722_0.5628_1_R0_6_1/IncludeTime                 = "True"</v>
      </c>
    </row>
    <row r="112" customFormat="false" ht="13.8" hidden="false" customHeight="false" outlineLevel="0" collapsed="false">
      <c r="B112" s="1"/>
      <c r="C112" s="1"/>
      <c r="D112" s="1"/>
      <c r="E112" s="1"/>
      <c r="F112" s="1"/>
      <c r="G112" s="1"/>
      <c r="H112" s="1" t="s">
        <v>8</v>
      </c>
      <c r="J112" s="1" t="str">
        <f aca="false">D101</f>
        <v>_Z2.1722_0.5628_1_R0_6_1</v>
      </c>
      <c r="K112" s="1" t="s">
        <v>26</v>
      </c>
      <c r="P112" s="1" t="str">
        <f aca="false">_xlfn.CONCAT(H112:N112)</f>
        <v>b:Sc/PhaseSpAtPhaseVol_Z2.1722_0.5628_1_R0_6_1/IncludeSeed                 = "True"</v>
      </c>
    </row>
    <row r="113" customFormat="false" ht="13.8" hidden="false" customHeight="false" outlineLevel="0" collapsed="false">
      <c r="B113" s="1"/>
      <c r="C113" s="1"/>
      <c r="D113" s="1"/>
      <c r="E113" s="1"/>
      <c r="F113" s="1"/>
      <c r="G113" s="1"/>
      <c r="H113" s="1" t="s">
        <v>1</v>
      </c>
      <c r="J113" s="1" t="str">
        <f aca="false">D101</f>
        <v>_Z2.1722_0.5628_1_R0_6_1</v>
      </c>
      <c r="K113" s="1" t="s">
        <v>27</v>
      </c>
      <c r="P113" s="1" t="str">
        <f aca="false">_xlfn.CONCAT(H113:N113)</f>
        <v>s:Sc/PhaseSpAtPhaseVol_Z2.1722_0.5628_1_R0_6_1/IfOutputFileAlreadyExists   = "Overwrite" # Exit, Overwrite or Increment</v>
      </c>
    </row>
    <row r="114" customFormat="false" ht="13.8" hidden="false" customHeight="false" outlineLevel="0" collapsed="false">
      <c r="B114" s="1"/>
      <c r="C114" s="1"/>
      <c r="D114" s="1"/>
      <c r="E114" s="1"/>
      <c r="F114" s="1"/>
      <c r="G114" s="1"/>
      <c r="H114" s="1" t="s">
        <v>8</v>
      </c>
      <c r="J114" s="1" t="str">
        <f aca="false">D101</f>
        <v>_Z2.1722_0.5628_1_R0_6_1</v>
      </c>
      <c r="K114" s="1" t="s">
        <v>28</v>
      </c>
      <c r="P114" s="1" t="str">
        <f aca="false">_xlfn.CONCAT(H114:N114)</f>
        <v>b:Sc/PhaseSpAtPhaseVol_Z2.1722_0.5628_1_R0_6_1/OutputAfterRun              = "True"</v>
      </c>
    </row>
    <row r="115" customFormat="false" ht="13.8" hidden="false" customHeight="false" outlineLevel="0" collapsed="false">
      <c r="B115" s="1"/>
      <c r="C115" s="1"/>
      <c r="D115" s="1"/>
      <c r="E115" s="1"/>
      <c r="F115" s="1"/>
      <c r="G115" s="1"/>
      <c r="H115" s="1" t="s">
        <v>29</v>
      </c>
      <c r="J115" s="1" t="str">
        <f aca="false">D101</f>
        <v>_Z2.1722_0.5628_1_R0_6_1</v>
      </c>
      <c r="K115" s="1" t="s">
        <v>30</v>
      </c>
      <c r="P115" s="1" t="str">
        <f aca="false">_xlfn.CONCAT(H115:N115)</f>
        <v>s:Ge/PhaseVol_Z2.1722_0.5628_1_R0_6_1/Parent     = "World"</v>
      </c>
    </row>
    <row r="116" customFormat="false" ht="13.8" hidden="false" customHeight="false" outlineLevel="0" collapsed="false">
      <c r="B116" s="1"/>
      <c r="C116" s="1"/>
      <c r="D116" s="1"/>
      <c r="E116" s="1"/>
      <c r="F116" s="1"/>
      <c r="G116" s="1"/>
      <c r="H116" s="1" t="s">
        <v>29</v>
      </c>
      <c r="J116" s="1" t="str">
        <f aca="false">D101</f>
        <v>_Z2.1722_0.5628_1_R0_6_1</v>
      </c>
      <c r="K116" s="1" t="s">
        <v>31</v>
      </c>
      <c r="P116" s="1" t="str">
        <f aca="false">_xlfn.CONCAT(H116:N116)</f>
        <v>s:Ge/PhaseVol_Z2.1722_0.5628_1_R0_6_1/Type       =  "TsCylinder"</v>
      </c>
    </row>
    <row r="117" customFormat="false" ht="13.8" hidden="false" customHeight="false" outlineLevel="0" collapsed="false">
      <c r="B117" s="1"/>
      <c r="C117" s="1"/>
      <c r="D117" s="1"/>
      <c r="E117" s="1"/>
      <c r="F117" s="1"/>
      <c r="G117" s="1"/>
      <c r="H117" s="1" t="s">
        <v>29</v>
      </c>
      <c r="J117" s="1" t="str">
        <f aca="false">D101</f>
        <v>_Z2.1722_0.5628_1_R0_6_1</v>
      </c>
      <c r="K117" s="1" t="s">
        <v>32</v>
      </c>
      <c r="P117" s="1" t="str">
        <f aca="false">_xlfn.CONCAT(H117:N117)</f>
        <v>s:Ge/PhaseVol_Z2.1722_0.5628_1_R0_6_1/Material   = "G4_WATER"</v>
      </c>
    </row>
    <row r="118" customFormat="false" ht="13.8" hidden="false" customHeight="false" outlineLevel="0" collapsed="false">
      <c r="B118" s="1"/>
      <c r="C118" s="1"/>
      <c r="D118" s="1"/>
      <c r="E118" s="1"/>
      <c r="F118" s="1"/>
      <c r="G118" s="1"/>
      <c r="H118" s="1" t="s">
        <v>33</v>
      </c>
      <c r="J118" s="1" t="str">
        <f aca="false">D101</f>
        <v>_Z2.1722_0.5628_1_R0_6_1</v>
      </c>
      <c r="K118" s="1" t="s">
        <v>34</v>
      </c>
      <c r="L118" s="1" t="n">
        <f aca="false">D104+E104*(F104 -1)</f>
        <v>0</v>
      </c>
      <c r="M118" s="1" t="s">
        <v>35</v>
      </c>
      <c r="P118" s="1" t="str">
        <f aca="false">_xlfn.CONCAT(H118:N118)</f>
        <v>d:Ge/PhaseVol_Z2.1722_0.5628_1_R0_6_1/Rmin =  0 cm</v>
      </c>
    </row>
    <row r="119" customFormat="false" ht="13.8" hidden="false" customHeight="false" outlineLevel="0" collapsed="false">
      <c r="B119" s="1"/>
      <c r="C119" s="1"/>
      <c r="D119" s="1"/>
      <c r="E119" s="1"/>
      <c r="F119" s="1"/>
      <c r="G119" s="1"/>
      <c r="H119" s="1" t="s">
        <v>33</v>
      </c>
      <c r="J119" s="1" t="str">
        <f aca="false">D101</f>
        <v>_Z2.1722_0.5628_1_R0_6_1</v>
      </c>
      <c r="K119" s="1" t="s">
        <v>36</v>
      </c>
      <c r="L119" s="2" t="n">
        <f aca="false">D104+E104*(F104 )</f>
        <v>6</v>
      </c>
      <c r="M119" s="1" t="s">
        <v>35</v>
      </c>
      <c r="P119" s="1" t="str">
        <f aca="false">_xlfn.CONCAT(H119:N119)</f>
        <v>d:Ge/PhaseVol_Z2.1722_0.5628_1_R0_6_1/Rmax = 6 cm</v>
      </c>
    </row>
    <row r="120" customFormat="false" ht="13.8" hidden="false" customHeight="false" outlineLevel="0" collapsed="false">
      <c r="B120" s="1"/>
      <c r="C120" s="1"/>
      <c r="D120" s="1"/>
      <c r="E120" s="1"/>
      <c r="F120" s="1"/>
      <c r="G120" s="1"/>
      <c r="H120" s="1" t="s">
        <v>33</v>
      </c>
      <c r="J120" s="1" t="str">
        <f aca="false">D101</f>
        <v>_Z2.1722_0.5628_1_R0_6_1</v>
      </c>
      <c r="K120" s="1" t="s">
        <v>37</v>
      </c>
      <c r="L120" s="1" t="n">
        <f aca="false">0.5*E103</f>
        <v>0.2814</v>
      </c>
      <c r="M120" s="1" t="s">
        <v>35</v>
      </c>
      <c r="P120" s="1" t="str">
        <f aca="false">_xlfn.CONCAT(H120:N120)</f>
        <v>d:Ge/PhaseVol_Z2.1722_0.5628_1_R0_6_1/HL = 0.2814 cm</v>
      </c>
    </row>
    <row r="121" customFormat="false" ht="16.95" hidden="false" customHeight="true" outlineLevel="0" collapsed="false">
      <c r="B121" s="1"/>
      <c r="C121" s="1"/>
      <c r="D121" s="1"/>
      <c r="E121" s="1"/>
      <c r="F121" s="1"/>
      <c r="G121" s="1"/>
      <c r="H121" s="1" t="s">
        <v>33</v>
      </c>
      <c r="J121" s="1" t="str">
        <f aca="false">D101</f>
        <v>_Z2.1722_0.5628_1_R0_6_1</v>
      </c>
      <c r="K121" s="3" t="s">
        <v>38</v>
      </c>
      <c r="L121" s="1" t="n">
        <v>0</v>
      </c>
      <c r="M121" s="1" t="s">
        <v>39</v>
      </c>
      <c r="P121" s="1" t="str">
        <f aca="false">_xlfn.CONCAT(H121:N121)</f>
        <v>d:Ge/PhaseVol_Z2.1722_0.5628_1_R0_6_1/Sphi     = 0 deg</v>
      </c>
    </row>
    <row r="122" customFormat="false" ht="16.95" hidden="false" customHeight="true" outlineLevel="0" collapsed="false">
      <c r="B122" s="1"/>
      <c r="C122" s="1"/>
      <c r="D122" s="1"/>
      <c r="E122" s="1"/>
      <c r="F122" s="1"/>
      <c r="G122" s="1"/>
      <c r="H122" s="1" t="s">
        <v>33</v>
      </c>
      <c r="I122" s="1"/>
      <c r="J122" s="1" t="str">
        <f aca="false">D101</f>
        <v>_Z2.1722_0.5628_1_R0_6_1</v>
      </c>
      <c r="K122" s="1" t="s">
        <v>40</v>
      </c>
      <c r="L122" s="1" t="n">
        <v>360</v>
      </c>
      <c r="M122" s="1" t="s">
        <v>39</v>
      </c>
      <c r="P122" s="1" t="str">
        <f aca="false">_xlfn.CONCAT(H122:N122)</f>
        <v>d:Ge/PhaseVol_Z2.1722_0.5628_1_R0_6_1/Dphi     = 360 deg</v>
      </c>
    </row>
    <row r="123" customFormat="false" ht="16.95" hidden="false" customHeight="true" outlineLevel="0" collapsed="false">
      <c r="B123" s="1"/>
      <c r="C123" s="1"/>
      <c r="D123" s="1"/>
      <c r="E123" s="1"/>
      <c r="F123" s="1"/>
      <c r="G123" s="1"/>
      <c r="H123" s="1" t="s">
        <v>33</v>
      </c>
      <c r="J123" s="1" t="str">
        <f aca="false">D101</f>
        <v>_Z2.1722_0.5628_1_R0_6_1</v>
      </c>
      <c r="K123" s="1" t="s">
        <v>41</v>
      </c>
      <c r="L123" s="1" t="n">
        <v>0</v>
      </c>
      <c r="M123" s="1" t="s">
        <v>35</v>
      </c>
      <c r="P123" s="1" t="str">
        <f aca="false">_xlfn.CONCAT(H123:N123)</f>
        <v>d:Ge/PhaseVol_Z2.1722_0.5628_1_R0_6_1/TransX   =  0 cm</v>
      </c>
    </row>
    <row r="124" customFormat="false" ht="16.95" hidden="false" customHeight="true" outlineLevel="0" collapsed="false">
      <c r="B124" s="1"/>
      <c r="C124" s="1"/>
      <c r="D124" s="1"/>
      <c r="E124" s="1"/>
      <c r="F124" s="1"/>
      <c r="G124" s="1"/>
      <c r="H124" s="1" t="s">
        <v>33</v>
      </c>
      <c r="J124" s="1" t="str">
        <f aca="false">D101</f>
        <v>_Z2.1722_0.5628_1_R0_6_1</v>
      </c>
      <c r="K124" s="1" t="s">
        <v>42</v>
      </c>
      <c r="L124" s="1" t="n">
        <v>0</v>
      </c>
      <c r="M124" s="1" t="s">
        <v>35</v>
      </c>
      <c r="P124" s="1" t="str">
        <f aca="false">_xlfn.CONCAT(H124:N124)</f>
        <v>d:Ge/PhaseVol_Z2.1722_0.5628_1_R0_6_1/TransY   =  0 cm</v>
      </c>
    </row>
    <row r="125" customFormat="false" ht="16.95" hidden="false" customHeight="true" outlineLevel="0" collapsed="false">
      <c r="B125" s="1"/>
      <c r="C125" s="1"/>
      <c r="D125" s="1"/>
      <c r="E125" s="1"/>
      <c r="F125" s="1"/>
      <c r="G125" s="1"/>
      <c r="H125" s="1" t="s">
        <v>33</v>
      </c>
      <c r="J125" s="1" t="str">
        <f aca="false">D101</f>
        <v>_Z2.1722_0.5628_1_R0_6_1</v>
      </c>
      <c r="K125" s="1" t="s">
        <v>43</v>
      </c>
      <c r="L125" s="1" t="n">
        <f aca="false">-1*(D103-0.5*E103+E103*(F103))</f>
        <v>-2.4536</v>
      </c>
      <c r="M125" s="1" t="s">
        <v>35</v>
      </c>
      <c r="P125" s="1" t="str">
        <f aca="false">_xlfn.CONCAT(H125:N125)</f>
        <v>d:Ge/PhaseVol_Z2.1722_0.5628_1_R0_6_1/TransZ   =  -2.4536 cm</v>
      </c>
    </row>
    <row r="126" customFormat="false" ht="16.95" hidden="false" customHeight="true" outlineLevel="0" collapsed="false">
      <c r="B126" s="1"/>
      <c r="C126" s="1"/>
      <c r="D126" s="1"/>
      <c r="E126" s="1"/>
      <c r="F126" s="1"/>
      <c r="G126" s="1"/>
      <c r="H126" s="1" t="s">
        <v>33</v>
      </c>
      <c r="J126" s="1" t="str">
        <f aca="false">D101</f>
        <v>_Z2.1722_0.5628_1_R0_6_1</v>
      </c>
      <c r="K126" s="1" t="s">
        <v>44</v>
      </c>
      <c r="L126" s="1" t="n">
        <v>0</v>
      </c>
      <c r="M126" s="1" t="s">
        <v>39</v>
      </c>
      <c r="P126" s="1" t="str">
        <f aca="false">_xlfn.CONCAT(H126:N126)</f>
        <v>d:Ge/PhaseVol_Z2.1722_0.5628_1_R0_6_1/RotX     = 0 deg</v>
      </c>
    </row>
    <row r="127" customFormat="false" ht="16.95" hidden="false" customHeight="true" outlineLevel="0" collapsed="false">
      <c r="B127" s="1"/>
      <c r="C127" s="1"/>
      <c r="D127" s="1"/>
      <c r="E127" s="1"/>
      <c r="F127" s="1"/>
      <c r="G127" s="1"/>
      <c r="H127" s="1" t="s">
        <v>33</v>
      </c>
      <c r="J127" s="1" t="str">
        <f aca="false">D101</f>
        <v>_Z2.1722_0.5628_1_R0_6_1</v>
      </c>
      <c r="K127" s="1" t="s">
        <v>45</v>
      </c>
      <c r="L127" s="1" t="n">
        <v>0</v>
      </c>
      <c r="M127" s="1" t="s">
        <v>39</v>
      </c>
      <c r="P127" s="1" t="str">
        <f aca="false">_xlfn.CONCAT(H127:N127)</f>
        <v>d:Ge/PhaseVol_Z2.1722_0.5628_1_R0_6_1/RotY     =  0 deg</v>
      </c>
    </row>
    <row r="128" customFormat="false" ht="16.95" hidden="false" customHeight="true" outlineLevel="0" collapsed="false">
      <c r="B128" s="1"/>
      <c r="C128" s="1"/>
      <c r="D128" s="1"/>
      <c r="E128" s="1"/>
      <c r="F128" s="1"/>
      <c r="G128" s="1"/>
      <c r="H128" s="1" t="s">
        <v>33</v>
      </c>
      <c r="J128" s="1" t="str">
        <f aca="false">D101</f>
        <v>_Z2.1722_0.5628_1_R0_6_1</v>
      </c>
      <c r="K128" s="1" t="s">
        <v>46</v>
      </c>
      <c r="L128" s="1" t="n">
        <v>0</v>
      </c>
      <c r="M128" s="1" t="s">
        <v>39</v>
      </c>
      <c r="P128" s="1" t="str">
        <f aca="false">_xlfn.CONCAT(H128:N128)</f>
        <v>d:Ge/PhaseVol_Z2.1722_0.5628_1_R0_6_1/RotZ     = 0 deg</v>
      </c>
    </row>
    <row r="129" customFormat="false" ht="16.95" hidden="false" customHeight="true" outlineLevel="0" collapsed="false">
      <c r="B129" s="1"/>
      <c r="C129" s="1"/>
      <c r="D129" s="1"/>
      <c r="E129" s="1"/>
      <c r="F129" s="1"/>
      <c r="G129" s="1"/>
      <c r="H129" s="1" t="s">
        <v>29</v>
      </c>
      <c r="J129" s="1" t="str">
        <f aca="false">D101</f>
        <v>_Z2.1722_0.5628_1_R0_6_1</v>
      </c>
      <c r="K129" s="1" t="s">
        <v>47</v>
      </c>
      <c r="P129" s="1" t="str">
        <f aca="false">_xlfn.CONCAT(H129:N129)</f>
        <v>s:Ge/PhaseVol_Z2.1722_0.5628_1_R0_6_1/Color    = "blue"</v>
      </c>
    </row>
    <row r="130" customFormat="false" ht="16.95" hidden="false" customHeight="true" outlineLevel="0" collapsed="false">
      <c r="B130" s="1"/>
      <c r="C130" s="1"/>
      <c r="D130" s="1"/>
      <c r="E130" s="1"/>
      <c r="F130" s="1"/>
      <c r="G130" s="1"/>
      <c r="H130" s="1" t="s">
        <v>48</v>
      </c>
      <c r="J130" s="1" t="str">
        <f aca="false">D101</f>
        <v>_Z2.1722_0.5628_1_R0_6_1</v>
      </c>
      <c r="K130" s="1" t="s">
        <v>49</v>
      </c>
      <c r="L130" s="4" t="n">
        <f aca="false">G103</f>
        <v>21</v>
      </c>
      <c r="P130" s="1" t="str">
        <f aca="false">_xlfn.CONCAT(H130:N130)</f>
        <v>i:Ge/PhaseVol_Z2.1722_0.5628_1_R0_6_1/Zbins    =  21</v>
      </c>
    </row>
    <row r="131" customFormat="false" ht="13.8" hidden="false" customHeight="false" outlineLevel="0" collapsed="false">
      <c r="H131" s="1" t="s">
        <v>48</v>
      </c>
      <c r="J131" s="1" t="str">
        <f aca="false">D101</f>
        <v>_Z2.1722_0.5628_1_R0_6_1</v>
      </c>
      <c r="K131" s="1" t="s">
        <v>50</v>
      </c>
      <c r="L131" s="4" t="n">
        <f aca="false">G104</f>
        <v>1</v>
      </c>
      <c r="P131" s="1" t="str">
        <f aca="false">_xlfn.CONCAT(H131:N131)</f>
        <v>i:Ge/PhaseVol_Z2.1722_0.5628_1_R0_6_1/Rbins    =  1</v>
      </c>
    </row>
    <row r="132" customFormat="false" ht="13.8" hidden="false" customHeight="false" outlineLevel="0" collapsed="false">
      <c r="H132" s="1" t="s">
        <v>48</v>
      </c>
      <c r="J132" s="1" t="str">
        <f aca="false">D101</f>
        <v>_Z2.1722_0.5628_1_R0_6_1</v>
      </c>
      <c r="K132" s="1" t="s">
        <v>51</v>
      </c>
      <c r="L132" s="4" t="n">
        <f aca="false">G105</f>
        <v>1</v>
      </c>
      <c r="P132" s="1" t="str">
        <f aca="false">_xlfn.CONCAT(H132:N132)</f>
        <v>i:Ge/PhaseVol_Z2.1722_0.5628_1_R0_6_1/PhiBins    =  1</v>
      </c>
    </row>
    <row r="133" customFormat="false" ht="13.8" hidden="false" customHeight="false" outlineLevel="0" collapsed="false">
      <c r="B133" s="1"/>
      <c r="C133" s="1"/>
      <c r="D133" s="1"/>
      <c r="E133" s="1"/>
      <c r="F133" s="1"/>
      <c r="G133" s="1"/>
      <c r="H133" s="1"/>
      <c r="J133" s="1"/>
      <c r="K133" s="1"/>
      <c r="P133" s="1"/>
    </row>
    <row r="134" customFormat="false" ht="13.8" hidden="false" customHeight="false" outlineLevel="0" collapsed="false">
      <c r="C134" s="1" t="s">
        <v>0</v>
      </c>
      <c r="D134" s="1" t="str">
        <f aca="false">(IF(D136&lt;0,"_Zm","_Z"))&amp;ABS(D136)&amp;"_"&amp;E136&amp;"_"&amp;F136&amp;"_R"&amp;D137&amp;"_"&amp;E137&amp;"_"&amp;F137</f>
        <v>_Z2.735_0.1742_1_R0_6_1</v>
      </c>
      <c r="H134" s="1" t="s">
        <v>1</v>
      </c>
      <c r="J134" s="1" t="str">
        <f aca="false">D134</f>
        <v>_Z2.735_0.1742_1_R0_6_1</v>
      </c>
      <c r="K134" s="1" t="s">
        <v>2</v>
      </c>
      <c r="P134" s="1" t="str">
        <f aca="false">_xlfn.CONCAT(H134:N134)</f>
        <v>s:Sc/PhaseSpAtPhaseVol_Z2.735_0.1742_1_R0_6_1/Quantity                    = "PhaseSpace"</v>
      </c>
    </row>
    <row r="135" customFormat="false" ht="13.8" hidden="false" customHeight="false" outlineLevel="0" collapsed="false">
      <c r="B135" s="1"/>
      <c r="C135" s="1" t="s">
        <v>3</v>
      </c>
      <c r="D135" s="1" t="s">
        <v>4</v>
      </c>
      <c r="E135" s="1" t="s">
        <v>5</v>
      </c>
      <c r="F135" s="1" t="s">
        <v>6</v>
      </c>
      <c r="G135" s="1" t="s">
        <v>7</v>
      </c>
      <c r="H135" s="1" t="s">
        <v>8</v>
      </c>
      <c r="J135" s="1" t="str">
        <f aca="false">D134</f>
        <v>_Z2.735_0.1742_1_R0_6_1</v>
      </c>
      <c r="K135" s="1" t="s">
        <v>9</v>
      </c>
      <c r="P135" s="1" t="str">
        <f aca="false">_xlfn.CONCAT(H135:N135)</f>
        <v>b:Sc/PhaseSpAtPhaseVol_Z2.735_0.1742_1_R0_6_1/OutputToConsole             = "True"</v>
      </c>
    </row>
    <row r="136" customFormat="false" ht="13.8" hidden="false" customHeight="false" outlineLevel="0" collapsed="false">
      <c r="B136" s="1"/>
      <c r="C136" s="1" t="s">
        <v>10</v>
      </c>
      <c r="D136" s="1" t="n">
        <f aca="false">D103+E103</f>
        <v>2.735</v>
      </c>
      <c r="E136" s="1" t="n">
        <v>0.1742</v>
      </c>
      <c r="F136" s="1" t="n">
        <v>1</v>
      </c>
      <c r="G136" s="1" t="n">
        <v>13</v>
      </c>
      <c r="H136" s="1" t="s">
        <v>1</v>
      </c>
      <c r="J136" s="1" t="str">
        <f aca="false">D134</f>
        <v>_Z2.735_0.1742_1_R0_6_1</v>
      </c>
      <c r="K136" s="1" t="s">
        <v>11</v>
      </c>
      <c r="L136" s="1" t="str">
        <f aca="false">D134</f>
        <v>_Z2.735_0.1742_1_R0_6_1</v>
      </c>
      <c r="M136" s="1" t="s">
        <v>12</v>
      </c>
      <c r="P136" s="1" t="str">
        <f aca="false">_xlfn.CONCAT(H136:N136)</f>
        <v>s:Sc/PhaseSpAtPhaseVol_Z2.735_0.1742_1_R0_6_1/Surface                     = "PhaseVol_Z2.735_0.1742_1_R0_6_1/ZMinusSurface"</v>
      </c>
    </row>
    <row r="137" customFormat="false" ht="13.8" hidden="false" customHeight="false" outlineLevel="0" collapsed="false">
      <c r="B137" s="1"/>
      <c r="C137" s="1" t="s">
        <v>13</v>
      </c>
      <c r="D137" s="1" t="n">
        <v>0</v>
      </c>
      <c r="E137" s="1" t="n">
        <f aca="false">E104</f>
        <v>6</v>
      </c>
      <c r="F137" s="1" t="n">
        <v>1</v>
      </c>
      <c r="G137" s="1" t="n">
        <v>1</v>
      </c>
      <c r="H137" s="1" t="s">
        <v>1</v>
      </c>
      <c r="J137" s="1" t="str">
        <f aca="false">D134</f>
        <v>_Z2.735_0.1742_1_R0_6_1</v>
      </c>
      <c r="K137" s="1" t="s">
        <v>14</v>
      </c>
      <c r="P137" s="1" t="str">
        <f aca="false">_xlfn.CONCAT(H137:N137)</f>
        <v>s:Sc/PhaseSpAtPhaseVol_Z2.735_0.1742_1_R0_6_1/OutputType                  = "ASCII" # ASCII or Binary</v>
      </c>
    </row>
    <row r="138" customFormat="false" ht="13.8" hidden="false" customHeight="false" outlineLevel="0" collapsed="false">
      <c r="B138" s="1"/>
      <c r="C138" s="1" t="s">
        <v>15</v>
      </c>
      <c r="D138" s="1"/>
      <c r="E138" s="1"/>
      <c r="F138" s="1"/>
      <c r="G138" s="1" t="n">
        <v>1</v>
      </c>
      <c r="H138" s="1" t="s">
        <v>1</v>
      </c>
      <c r="J138" s="1" t="str">
        <f aca="false">D134</f>
        <v>_Z2.735_0.1742_1_R0_6_1</v>
      </c>
      <c r="K138" s="1" t="s">
        <v>16</v>
      </c>
      <c r="L138" s="1" t="str">
        <f aca="false">D134</f>
        <v>_Z2.735_0.1742_1_R0_6_1</v>
      </c>
      <c r="M138" s="1" t="s">
        <v>17</v>
      </c>
      <c r="P138" s="1" t="str">
        <f aca="false">_xlfn.CONCAT(H138:N138)</f>
        <v>s:Sc/PhaseSpAtPhaseVol_Z2.735_0.1742_1_R0_6_1/OutputFile                  = "PhaseSpASCII_Z2.735_0.1742_1_R0_6_1"</v>
      </c>
    </row>
    <row r="139" customFormat="false" ht="13.8" hidden="false" customHeight="false" outlineLevel="0" collapsed="false">
      <c r="B139" s="1"/>
      <c r="C139" s="1"/>
      <c r="D139" s="1"/>
      <c r="E139" s="1"/>
      <c r="F139" s="1"/>
      <c r="G139" s="1"/>
      <c r="H139" s="1" t="s">
        <v>18</v>
      </c>
      <c r="J139" s="1" t="str">
        <f aca="false">D134</f>
        <v>_Z2.735_0.1742_1_R0_6_1</v>
      </c>
      <c r="K139" s="1" t="s">
        <v>19</v>
      </c>
      <c r="P139" s="1" t="str">
        <f aca="false">_xlfn.CONCAT(H139:N139)</f>
        <v>i:Sc/PhaseSpAtPhaseVol_Z2.735_0.1742_1_R0_6_1/OutputBufferSize            = 1000</v>
      </c>
    </row>
    <row r="140" customFormat="false" ht="13.8" hidden="false" customHeight="false" outlineLevel="0" collapsed="false">
      <c r="B140" s="1"/>
      <c r="C140" s="1"/>
      <c r="D140" s="1"/>
      <c r="E140" s="1"/>
      <c r="F140" s="1"/>
      <c r="G140" s="1"/>
      <c r="H140" s="1" t="s">
        <v>20</v>
      </c>
      <c r="J140" s="1" t="str">
        <f aca="false">D134</f>
        <v>_Z2.735_0.1742_1_R0_6_1</v>
      </c>
      <c r="K140" s="1" t="s">
        <v>21</v>
      </c>
      <c r="P140" s="1" t="str">
        <f aca="false">_xlfn.CONCAT(H140:N140)</f>
        <v># s:Sc/PhaseSpAtPhaseVol_Z2.735_0.1742_1_R0_6_1/OnlyIncludeParticlesGoing  = "In"</v>
      </c>
    </row>
    <row r="141" customFormat="false" ht="13.8" hidden="false" customHeight="false" outlineLevel="0" collapsed="false">
      <c r="B141" s="1"/>
      <c r="C141" s="1"/>
      <c r="D141" s="1"/>
      <c r="E141" s="1"/>
      <c r="F141" s="1"/>
      <c r="G141" s="1"/>
      <c r="H141" s="1" t="s">
        <v>8</v>
      </c>
      <c r="J141" s="1" t="str">
        <f aca="false">D134</f>
        <v>_Z2.735_0.1742_1_R0_6_1</v>
      </c>
      <c r="K141" s="1" t="s">
        <v>22</v>
      </c>
      <c r="P141" s="1" t="str">
        <f aca="false">_xlfn.CONCAT(H141:N141)</f>
        <v>b:Sc/PhaseSpAtPhaseVol_Z2.735_0.1742_1_R0_6_1/IncludeRunID                = "True"</v>
      </c>
    </row>
    <row r="142" customFormat="false" ht="13.8" hidden="false" customHeight="false" outlineLevel="0" collapsed="false">
      <c r="B142" s="1"/>
      <c r="C142" s="1"/>
      <c r="D142" s="1"/>
      <c r="E142" s="1"/>
      <c r="F142" s="1"/>
      <c r="G142" s="1"/>
      <c r="H142" s="1" t="s">
        <v>8</v>
      </c>
      <c r="J142" s="1" t="str">
        <f aca="false">D134</f>
        <v>_Z2.735_0.1742_1_R0_6_1</v>
      </c>
      <c r="K142" s="1" t="s">
        <v>23</v>
      </c>
      <c r="P142" s="1" t="str">
        <f aca="false">_xlfn.CONCAT(H142:N142)</f>
        <v>b:Sc/PhaseSpAtPhaseVol_Z2.735_0.1742_1_R0_6_1/IncludeEventID              = "True"</v>
      </c>
    </row>
    <row r="143" customFormat="false" ht="13.8" hidden="false" customHeight="false" outlineLevel="0" collapsed="false">
      <c r="B143" s="1"/>
      <c r="C143" s="1"/>
      <c r="D143" s="1"/>
      <c r="E143" s="1"/>
      <c r="F143" s="1"/>
      <c r="G143" s="1"/>
      <c r="H143" s="1" t="s">
        <v>8</v>
      </c>
      <c r="J143" s="1" t="str">
        <f aca="false">D134</f>
        <v>_Z2.735_0.1742_1_R0_6_1</v>
      </c>
      <c r="K143" s="1" t="s">
        <v>24</v>
      </c>
      <c r="P143" s="1" t="str">
        <f aca="false">_xlfn.CONCAT(H143:N143)</f>
        <v>b:Sc/PhaseSpAtPhaseVol_Z2.735_0.1742_1_R0_6_1/IncludeTrackID              = "True"</v>
      </c>
    </row>
    <row r="144" customFormat="false" ht="13.8" hidden="false" customHeight="false" outlineLevel="0" collapsed="false">
      <c r="B144" s="1"/>
      <c r="C144" s="1"/>
      <c r="D144" s="1"/>
      <c r="E144" s="1"/>
      <c r="F144" s="1"/>
      <c r="G144" s="1"/>
      <c r="H144" s="1" t="s">
        <v>8</v>
      </c>
      <c r="J144" s="1" t="str">
        <f aca="false">D134</f>
        <v>_Z2.735_0.1742_1_R0_6_1</v>
      </c>
      <c r="K144" s="1" t="s">
        <v>25</v>
      </c>
      <c r="P144" s="1" t="str">
        <f aca="false">_xlfn.CONCAT(H144:N144)</f>
        <v>b:Sc/PhaseSpAtPhaseVol_Z2.735_0.1742_1_R0_6_1/IncludeTime                 = "True"</v>
      </c>
    </row>
    <row r="145" customFormat="false" ht="13.8" hidden="false" customHeight="false" outlineLevel="0" collapsed="false">
      <c r="B145" s="1"/>
      <c r="C145" s="1"/>
      <c r="D145" s="1"/>
      <c r="E145" s="1"/>
      <c r="F145" s="1"/>
      <c r="G145" s="1"/>
      <c r="H145" s="1" t="s">
        <v>8</v>
      </c>
      <c r="J145" s="1" t="str">
        <f aca="false">D134</f>
        <v>_Z2.735_0.1742_1_R0_6_1</v>
      </c>
      <c r="K145" s="1" t="s">
        <v>26</v>
      </c>
      <c r="P145" s="1" t="str">
        <f aca="false">_xlfn.CONCAT(H145:N145)</f>
        <v>b:Sc/PhaseSpAtPhaseVol_Z2.735_0.1742_1_R0_6_1/IncludeSeed                 = "True"</v>
      </c>
    </row>
    <row r="146" customFormat="false" ht="13.8" hidden="false" customHeight="false" outlineLevel="0" collapsed="false">
      <c r="B146" s="1"/>
      <c r="C146" s="1"/>
      <c r="D146" s="1"/>
      <c r="E146" s="1"/>
      <c r="F146" s="1"/>
      <c r="G146" s="1"/>
      <c r="H146" s="1" t="s">
        <v>1</v>
      </c>
      <c r="J146" s="1" t="str">
        <f aca="false">D134</f>
        <v>_Z2.735_0.1742_1_R0_6_1</v>
      </c>
      <c r="K146" s="1" t="s">
        <v>27</v>
      </c>
      <c r="P146" s="1" t="str">
        <f aca="false">_xlfn.CONCAT(H146:N146)</f>
        <v>s:Sc/PhaseSpAtPhaseVol_Z2.735_0.1742_1_R0_6_1/IfOutputFileAlreadyExists   = "Overwrite" # Exit, Overwrite or Increment</v>
      </c>
    </row>
    <row r="147" customFormat="false" ht="13.8" hidden="false" customHeight="false" outlineLevel="0" collapsed="false">
      <c r="B147" s="1"/>
      <c r="C147" s="1"/>
      <c r="D147" s="1"/>
      <c r="E147" s="1"/>
      <c r="F147" s="1"/>
      <c r="G147" s="1"/>
      <c r="H147" s="1" t="s">
        <v>8</v>
      </c>
      <c r="J147" s="1" t="str">
        <f aca="false">D134</f>
        <v>_Z2.735_0.1742_1_R0_6_1</v>
      </c>
      <c r="K147" s="1" t="s">
        <v>28</v>
      </c>
      <c r="P147" s="1" t="str">
        <f aca="false">_xlfn.CONCAT(H147:N147)</f>
        <v>b:Sc/PhaseSpAtPhaseVol_Z2.735_0.1742_1_R0_6_1/OutputAfterRun              = "True"</v>
      </c>
    </row>
    <row r="148" customFormat="false" ht="13.8" hidden="false" customHeight="false" outlineLevel="0" collapsed="false">
      <c r="B148" s="1"/>
      <c r="C148" s="1"/>
      <c r="D148" s="1"/>
      <c r="E148" s="1"/>
      <c r="F148" s="1"/>
      <c r="G148" s="1"/>
      <c r="H148" s="1" t="s">
        <v>29</v>
      </c>
      <c r="J148" s="1" t="str">
        <f aca="false">D134</f>
        <v>_Z2.735_0.1742_1_R0_6_1</v>
      </c>
      <c r="K148" s="1" t="s">
        <v>30</v>
      </c>
      <c r="P148" s="1" t="str">
        <f aca="false">_xlfn.CONCAT(H148:N148)</f>
        <v>s:Ge/PhaseVol_Z2.735_0.1742_1_R0_6_1/Parent     = "World"</v>
      </c>
    </row>
    <row r="149" customFormat="false" ht="13.8" hidden="false" customHeight="false" outlineLevel="0" collapsed="false">
      <c r="B149" s="1"/>
      <c r="C149" s="1"/>
      <c r="D149" s="1"/>
      <c r="E149" s="1"/>
      <c r="F149" s="1"/>
      <c r="G149" s="1"/>
      <c r="H149" s="1" t="s">
        <v>29</v>
      </c>
      <c r="J149" s="1" t="str">
        <f aca="false">D134</f>
        <v>_Z2.735_0.1742_1_R0_6_1</v>
      </c>
      <c r="K149" s="1" t="s">
        <v>31</v>
      </c>
      <c r="P149" s="1" t="str">
        <f aca="false">_xlfn.CONCAT(H149:N149)</f>
        <v>s:Ge/PhaseVol_Z2.735_0.1742_1_R0_6_1/Type       =  "TsCylinder"</v>
      </c>
    </row>
    <row r="150" customFormat="false" ht="13.8" hidden="false" customHeight="false" outlineLevel="0" collapsed="false">
      <c r="B150" s="1"/>
      <c r="C150" s="1"/>
      <c r="D150" s="1"/>
      <c r="E150" s="1"/>
      <c r="F150" s="1"/>
      <c r="G150" s="1"/>
      <c r="H150" s="1" t="s">
        <v>29</v>
      </c>
      <c r="J150" s="1" t="str">
        <f aca="false">D134</f>
        <v>_Z2.735_0.1742_1_R0_6_1</v>
      </c>
      <c r="K150" s="1" t="s">
        <v>32</v>
      </c>
      <c r="P150" s="1" t="str">
        <f aca="false">_xlfn.CONCAT(H150:N150)</f>
        <v>s:Ge/PhaseVol_Z2.735_0.1742_1_R0_6_1/Material   = "G4_WATER"</v>
      </c>
    </row>
    <row r="151" customFormat="false" ht="13.8" hidden="false" customHeight="false" outlineLevel="0" collapsed="false">
      <c r="B151" s="1"/>
      <c r="C151" s="1"/>
      <c r="D151" s="1"/>
      <c r="E151" s="1"/>
      <c r="F151" s="1"/>
      <c r="G151" s="1"/>
      <c r="H151" s="1" t="s">
        <v>33</v>
      </c>
      <c r="J151" s="1" t="str">
        <f aca="false">D134</f>
        <v>_Z2.735_0.1742_1_R0_6_1</v>
      </c>
      <c r="K151" s="1" t="s">
        <v>34</v>
      </c>
      <c r="L151" s="1" t="n">
        <f aca="false">D137+E137*(F137 -1)</f>
        <v>0</v>
      </c>
      <c r="M151" s="1" t="s">
        <v>35</v>
      </c>
      <c r="P151" s="1" t="str">
        <f aca="false">_xlfn.CONCAT(H151:N151)</f>
        <v>d:Ge/PhaseVol_Z2.735_0.1742_1_R0_6_1/Rmin =  0 cm</v>
      </c>
    </row>
    <row r="152" customFormat="false" ht="13.8" hidden="false" customHeight="false" outlineLevel="0" collapsed="false">
      <c r="B152" s="1"/>
      <c r="C152" s="1"/>
      <c r="D152" s="1"/>
      <c r="E152" s="1"/>
      <c r="F152" s="1"/>
      <c r="G152" s="1"/>
      <c r="H152" s="1" t="s">
        <v>33</v>
      </c>
      <c r="J152" s="1" t="str">
        <f aca="false">D134</f>
        <v>_Z2.735_0.1742_1_R0_6_1</v>
      </c>
      <c r="K152" s="1" t="s">
        <v>36</v>
      </c>
      <c r="L152" s="2" t="n">
        <f aca="false">D137+E137*(F137 )</f>
        <v>6</v>
      </c>
      <c r="M152" s="1" t="s">
        <v>35</v>
      </c>
      <c r="P152" s="1" t="str">
        <f aca="false">_xlfn.CONCAT(H152:N152)</f>
        <v>d:Ge/PhaseVol_Z2.735_0.1742_1_R0_6_1/Rmax = 6 cm</v>
      </c>
    </row>
    <row r="153" customFormat="false" ht="13.8" hidden="false" customHeight="false" outlineLevel="0" collapsed="false">
      <c r="B153" s="1"/>
      <c r="C153" s="1"/>
      <c r="D153" s="1"/>
      <c r="E153" s="1"/>
      <c r="F153" s="1"/>
      <c r="G153" s="1"/>
      <c r="H153" s="1" t="s">
        <v>33</v>
      </c>
      <c r="J153" s="1" t="str">
        <f aca="false">D134</f>
        <v>_Z2.735_0.1742_1_R0_6_1</v>
      </c>
      <c r="K153" s="1" t="s">
        <v>37</v>
      </c>
      <c r="L153" s="1" t="n">
        <f aca="false">0.5*E136</f>
        <v>0.0871</v>
      </c>
      <c r="M153" s="1" t="s">
        <v>35</v>
      </c>
      <c r="P153" s="1" t="str">
        <f aca="false">_xlfn.CONCAT(H153:N153)</f>
        <v>d:Ge/PhaseVol_Z2.735_0.1742_1_R0_6_1/HL = 0.0871 cm</v>
      </c>
    </row>
    <row r="154" customFormat="false" ht="16.95" hidden="false" customHeight="true" outlineLevel="0" collapsed="false">
      <c r="B154" s="1"/>
      <c r="C154" s="1"/>
      <c r="D154" s="1"/>
      <c r="E154" s="1"/>
      <c r="F154" s="1"/>
      <c r="G154" s="1"/>
      <c r="H154" s="1" t="s">
        <v>33</v>
      </c>
      <c r="J154" s="1" t="str">
        <f aca="false">D134</f>
        <v>_Z2.735_0.1742_1_R0_6_1</v>
      </c>
      <c r="K154" s="3" t="s">
        <v>38</v>
      </c>
      <c r="L154" s="1" t="n">
        <v>0</v>
      </c>
      <c r="M154" s="1" t="s">
        <v>39</v>
      </c>
      <c r="P154" s="1" t="str">
        <f aca="false">_xlfn.CONCAT(H154:N154)</f>
        <v>d:Ge/PhaseVol_Z2.735_0.1742_1_R0_6_1/Sphi     = 0 deg</v>
      </c>
    </row>
    <row r="155" customFormat="false" ht="16.95" hidden="false" customHeight="true" outlineLevel="0" collapsed="false">
      <c r="B155" s="1"/>
      <c r="C155" s="1"/>
      <c r="D155" s="1"/>
      <c r="E155" s="1"/>
      <c r="F155" s="1"/>
      <c r="G155" s="1"/>
      <c r="H155" s="1" t="s">
        <v>33</v>
      </c>
      <c r="I155" s="1"/>
      <c r="J155" s="1" t="str">
        <f aca="false">D134</f>
        <v>_Z2.735_0.1742_1_R0_6_1</v>
      </c>
      <c r="K155" s="1" t="s">
        <v>40</v>
      </c>
      <c r="L155" s="1" t="n">
        <v>360</v>
      </c>
      <c r="M155" s="1" t="s">
        <v>39</v>
      </c>
      <c r="P155" s="1" t="str">
        <f aca="false">_xlfn.CONCAT(H155:N155)</f>
        <v>d:Ge/PhaseVol_Z2.735_0.1742_1_R0_6_1/Dphi     = 360 deg</v>
      </c>
    </row>
    <row r="156" customFormat="false" ht="16.95" hidden="false" customHeight="true" outlineLevel="0" collapsed="false">
      <c r="B156" s="1"/>
      <c r="C156" s="1"/>
      <c r="D156" s="1"/>
      <c r="E156" s="1"/>
      <c r="F156" s="1"/>
      <c r="G156" s="1"/>
      <c r="H156" s="1" t="s">
        <v>33</v>
      </c>
      <c r="J156" s="1" t="str">
        <f aca="false">D134</f>
        <v>_Z2.735_0.1742_1_R0_6_1</v>
      </c>
      <c r="K156" s="1" t="s">
        <v>41</v>
      </c>
      <c r="L156" s="1" t="n">
        <v>0</v>
      </c>
      <c r="M156" s="1" t="s">
        <v>35</v>
      </c>
      <c r="P156" s="1" t="str">
        <f aca="false">_xlfn.CONCAT(H156:N156)</f>
        <v>d:Ge/PhaseVol_Z2.735_0.1742_1_R0_6_1/TransX   =  0 cm</v>
      </c>
    </row>
    <row r="157" customFormat="false" ht="16.95" hidden="false" customHeight="true" outlineLevel="0" collapsed="false">
      <c r="C157" s="1"/>
      <c r="D157" s="1"/>
      <c r="E157" s="1"/>
      <c r="F157" s="1"/>
      <c r="G157" s="1"/>
      <c r="H157" s="1" t="s">
        <v>33</v>
      </c>
      <c r="J157" s="1" t="str">
        <f aca="false">D134</f>
        <v>_Z2.735_0.1742_1_R0_6_1</v>
      </c>
      <c r="K157" s="1" t="s">
        <v>42</v>
      </c>
      <c r="L157" s="1" t="n">
        <v>0</v>
      </c>
      <c r="M157" s="1" t="s">
        <v>35</v>
      </c>
      <c r="P157" s="1" t="str">
        <f aca="false">_xlfn.CONCAT(H157:N157)</f>
        <v>d:Ge/PhaseVol_Z2.735_0.1742_1_R0_6_1/TransY   =  0 cm</v>
      </c>
    </row>
    <row r="158" customFormat="false" ht="16.95" hidden="false" customHeight="true" outlineLevel="0" collapsed="false">
      <c r="C158" s="1"/>
      <c r="D158" s="1"/>
      <c r="E158" s="1"/>
      <c r="F158" s="1"/>
      <c r="G158" s="1"/>
      <c r="H158" s="1" t="s">
        <v>33</v>
      </c>
      <c r="J158" s="1" t="str">
        <f aca="false">D134</f>
        <v>_Z2.735_0.1742_1_R0_6_1</v>
      </c>
      <c r="K158" s="1" t="s">
        <v>43</v>
      </c>
      <c r="L158" s="1" t="n">
        <f aca="false">-1*(D136-0.5*E136+E136*(F136))</f>
        <v>-2.8221</v>
      </c>
      <c r="M158" s="1" t="s">
        <v>35</v>
      </c>
      <c r="P158" s="1" t="str">
        <f aca="false">_xlfn.CONCAT(H158:N158)</f>
        <v>d:Ge/PhaseVol_Z2.735_0.1742_1_R0_6_1/TransZ   =  -2.8221 cm</v>
      </c>
    </row>
    <row r="159" customFormat="false" ht="16.95" hidden="false" customHeight="true" outlineLevel="0" collapsed="false">
      <c r="C159" s="1"/>
      <c r="D159" s="1"/>
      <c r="E159" s="1"/>
      <c r="F159" s="1"/>
      <c r="G159" s="1"/>
      <c r="H159" s="1" t="s">
        <v>33</v>
      </c>
      <c r="J159" s="1" t="str">
        <f aca="false">D134</f>
        <v>_Z2.735_0.1742_1_R0_6_1</v>
      </c>
      <c r="K159" s="1" t="s">
        <v>44</v>
      </c>
      <c r="L159" s="1" t="n">
        <v>0</v>
      </c>
      <c r="M159" s="1" t="s">
        <v>39</v>
      </c>
      <c r="P159" s="1" t="str">
        <f aca="false">_xlfn.CONCAT(H159:N159)</f>
        <v>d:Ge/PhaseVol_Z2.735_0.1742_1_R0_6_1/RotX     = 0 deg</v>
      </c>
    </row>
    <row r="160" customFormat="false" ht="16.95" hidden="false" customHeight="true" outlineLevel="0" collapsed="false">
      <c r="C160" s="1"/>
      <c r="D160" s="1"/>
      <c r="E160" s="1"/>
      <c r="F160" s="1"/>
      <c r="G160" s="1"/>
      <c r="H160" s="1" t="s">
        <v>33</v>
      </c>
      <c r="J160" s="1" t="str">
        <f aca="false">D134</f>
        <v>_Z2.735_0.1742_1_R0_6_1</v>
      </c>
      <c r="K160" s="1" t="s">
        <v>45</v>
      </c>
      <c r="L160" s="1" t="n">
        <v>0</v>
      </c>
      <c r="M160" s="1" t="s">
        <v>39</v>
      </c>
      <c r="P160" s="1" t="str">
        <f aca="false">_xlfn.CONCAT(H160:N160)</f>
        <v>d:Ge/PhaseVol_Z2.735_0.1742_1_R0_6_1/RotY     =  0 deg</v>
      </c>
    </row>
    <row r="161" customFormat="false" ht="16.95" hidden="false" customHeight="true" outlineLevel="0" collapsed="false">
      <c r="C161" s="1"/>
      <c r="D161" s="1"/>
      <c r="E161" s="1"/>
      <c r="F161" s="1"/>
      <c r="G161" s="1"/>
      <c r="H161" s="1" t="s">
        <v>33</v>
      </c>
      <c r="J161" s="1" t="str">
        <f aca="false">D134</f>
        <v>_Z2.735_0.1742_1_R0_6_1</v>
      </c>
      <c r="K161" s="1" t="s">
        <v>46</v>
      </c>
      <c r="L161" s="1" t="n">
        <v>0</v>
      </c>
      <c r="M161" s="1" t="s">
        <v>39</v>
      </c>
      <c r="P161" s="1" t="str">
        <f aca="false">_xlfn.CONCAT(H161:N161)</f>
        <v>d:Ge/PhaseVol_Z2.735_0.1742_1_R0_6_1/RotZ     = 0 deg</v>
      </c>
    </row>
    <row r="162" customFormat="false" ht="16.95" hidden="false" customHeight="true" outlineLevel="0" collapsed="false">
      <c r="B162" s="1"/>
      <c r="C162" s="1"/>
      <c r="D162" s="1"/>
      <c r="E162" s="1"/>
      <c r="F162" s="1"/>
      <c r="G162" s="1"/>
      <c r="H162" s="1" t="s">
        <v>29</v>
      </c>
      <c r="J162" s="1" t="str">
        <f aca="false">D134</f>
        <v>_Z2.735_0.1742_1_R0_6_1</v>
      </c>
      <c r="K162" s="1" t="s">
        <v>47</v>
      </c>
      <c r="P162" s="1" t="str">
        <f aca="false">_xlfn.CONCAT(H162:N162)</f>
        <v>s:Ge/PhaseVol_Z2.735_0.1742_1_R0_6_1/Color    = "blue"</v>
      </c>
    </row>
    <row r="163" customFormat="false" ht="16.95" hidden="false" customHeight="true" outlineLevel="0" collapsed="false">
      <c r="B163" s="1"/>
      <c r="C163" s="1"/>
      <c r="D163" s="1"/>
      <c r="E163" s="1"/>
      <c r="F163" s="1"/>
      <c r="G163" s="1"/>
      <c r="H163" s="1" t="s">
        <v>48</v>
      </c>
      <c r="J163" s="1" t="str">
        <f aca="false">D134</f>
        <v>_Z2.735_0.1742_1_R0_6_1</v>
      </c>
      <c r="K163" s="1" t="s">
        <v>49</v>
      </c>
      <c r="L163" s="4" t="n">
        <f aca="false">G136</f>
        <v>13</v>
      </c>
      <c r="P163" s="1" t="str">
        <f aca="false">_xlfn.CONCAT(H163:N163)</f>
        <v>i:Ge/PhaseVol_Z2.735_0.1742_1_R0_6_1/Zbins    =  13</v>
      </c>
    </row>
    <row r="164" customFormat="false" ht="13.8" hidden="false" customHeight="false" outlineLevel="0" collapsed="false">
      <c r="H164" s="1" t="s">
        <v>48</v>
      </c>
      <c r="J164" s="1" t="str">
        <f aca="false">D134</f>
        <v>_Z2.735_0.1742_1_R0_6_1</v>
      </c>
      <c r="K164" s="1" t="s">
        <v>50</v>
      </c>
      <c r="L164" s="4" t="n">
        <f aca="false">G137</f>
        <v>1</v>
      </c>
      <c r="P164" s="1" t="str">
        <f aca="false">_xlfn.CONCAT(H164:N164)</f>
        <v>i:Ge/PhaseVol_Z2.735_0.1742_1_R0_6_1/Rbins    =  1</v>
      </c>
    </row>
    <row r="165" customFormat="false" ht="13.8" hidden="false" customHeight="false" outlineLevel="0" collapsed="false">
      <c r="H165" s="1" t="s">
        <v>48</v>
      </c>
      <c r="J165" s="1" t="str">
        <f aca="false">D134</f>
        <v>_Z2.735_0.1742_1_R0_6_1</v>
      </c>
      <c r="K165" s="1" t="s">
        <v>51</v>
      </c>
      <c r="L165" s="4" t="n">
        <f aca="false">G138</f>
        <v>1</v>
      </c>
      <c r="P165" s="1" t="str">
        <f aca="false">_xlfn.CONCAT(H165:N165)</f>
        <v>i:Ge/PhaseVol_Z2.735_0.1742_1_R0_6_1/PhiBins    =  1</v>
      </c>
    </row>
    <row r="167" customFormat="false" ht="13.8" hidden="false" customHeight="false" outlineLevel="0" collapsed="false">
      <c r="C167" s="1" t="s">
        <v>0</v>
      </c>
      <c r="D167" s="1" t="str">
        <f aca="false">(IF(D169&lt;0,"_Zm","_Z"))&amp;ABS(D169)&amp;"_"&amp;E169&amp;"_"&amp;F169&amp;"_R"&amp;D170&amp;"_"&amp;E170&amp;"_"&amp;F170</f>
        <v>_Z2.9092_0.059_1_R0_6_1</v>
      </c>
      <c r="H167" s="1" t="s">
        <v>1</v>
      </c>
      <c r="J167" s="1" t="str">
        <f aca="false">D167</f>
        <v>_Z2.9092_0.059_1_R0_6_1</v>
      </c>
      <c r="K167" s="1" t="s">
        <v>2</v>
      </c>
      <c r="P167" s="1" t="str">
        <f aca="false">_xlfn.CONCAT(H167:N167)</f>
        <v>s:Sc/PhaseSpAtPhaseVol_Z2.9092_0.059_1_R0_6_1/Quantity                    = "PhaseSpace"</v>
      </c>
    </row>
    <row r="168" customFormat="false" ht="13.8" hidden="false" customHeight="false" outlineLevel="0" collapsed="false">
      <c r="B168" s="1"/>
      <c r="C168" s="1" t="s">
        <v>3</v>
      </c>
      <c r="D168" s="1" t="s">
        <v>4</v>
      </c>
      <c r="E168" s="1" t="s">
        <v>5</v>
      </c>
      <c r="F168" s="1" t="s">
        <v>6</v>
      </c>
      <c r="G168" s="1" t="s">
        <v>7</v>
      </c>
      <c r="H168" s="1" t="s">
        <v>8</v>
      </c>
      <c r="J168" s="1" t="str">
        <f aca="false">D167</f>
        <v>_Z2.9092_0.059_1_R0_6_1</v>
      </c>
      <c r="K168" s="1" t="s">
        <v>9</v>
      </c>
      <c r="P168" s="1" t="str">
        <f aca="false">_xlfn.CONCAT(H168:N168)</f>
        <v>b:Sc/PhaseSpAtPhaseVol_Z2.9092_0.059_1_R0_6_1/OutputToConsole             = "True"</v>
      </c>
    </row>
    <row r="169" customFormat="false" ht="13.8" hidden="false" customHeight="false" outlineLevel="0" collapsed="false">
      <c r="B169" s="1"/>
      <c r="C169" s="1" t="s">
        <v>10</v>
      </c>
      <c r="D169" s="1" t="n">
        <f aca="false">D136+E136</f>
        <v>2.9092</v>
      </c>
      <c r="E169" s="0" t="n">
        <v>0.059</v>
      </c>
      <c r="F169" s="1" t="n">
        <v>1</v>
      </c>
      <c r="G169" s="1" t="n">
        <v>20</v>
      </c>
      <c r="H169" s="1" t="s">
        <v>1</v>
      </c>
      <c r="J169" s="1" t="str">
        <f aca="false">D167</f>
        <v>_Z2.9092_0.059_1_R0_6_1</v>
      </c>
      <c r="K169" s="1" t="s">
        <v>11</v>
      </c>
      <c r="L169" s="1" t="str">
        <f aca="false">D167</f>
        <v>_Z2.9092_0.059_1_R0_6_1</v>
      </c>
      <c r="M169" s="1" t="s">
        <v>12</v>
      </c>
      <c r="P169" s="1" t="str">
        <f aca="false">_xlfn.CONCAT(H169:N169)</f>
        <v>s:Sc/PhaseSpAtPhaseVol_Z2.9092_0.059_1_R0_6_1/Surface                     = "PhaseVol_Z2.9092_0.059_1_R0_6_1/ZMinusSurface"</v>
      </c>
    </row>
    <row r="170" customFormat="false" ht="13.8" hidden="false" customHeight="false" outlineLevel="0" collapsed="false">
      <c r="B170" s="1"/>
      <c r="C170" s="1" t="s">
        <v>13</v>
      </c>
      <c r="D170" s="1" t="n">
        <v>0</v>
      </c>
      <c r="E170" s="1" t="n">
        <f aca="false">E137</f>
        <v>6</v>
      </c>
      <c r="F170" s="1" t="n">
        <v>1</v>
      </c>
      <c r="G170" s="1" t="n">
        <v>1</v>
      </c>
      <c r="H170" s="1" t="s">
        <v>1</v>
      </c>
      <c r="J170" s="1" t="str">
        <f aca="false">D167</f>
        <v>_Z2.9092_0.059_1_R0_6_1</v>
      </c>
      <c r="K170" s="1" t="s">
        <v>14</v>
      </c>
      <c r="P170" s="1" t="str">
        <f aca="false">_xlfn.CONCAT(H170:N170)</f>
        <v>s:Sc/PhaseSpAtPhaseVol_Z2.9092_0.059_1_R0_6_1/OutputType                  = "ASCII" # ASCII or Binary</v>
      </c>
    </row>
    <row r="171" customFormat="false" ht="13.8" hidden="false" customHeight="false" outlineLevel="0" collapsed="false">
      <c r="B171" s="1"/>
      <c r="C171" s="1" t="s">
        <v>15</v>
      </c>
      <c r="D171" s="1"/>
      <c r="E171" s="1"/>
      <c r="F171" s="1"/>
      <c r="G171" s="1" t="n">
        <v>1</v>
      </c>
      <c r="H171" s="1" t="s">
        <v>1</v>
      </c>
      <c r="J171" s="1" t="str">
        <f aca="false">D167</f>
        <v>_Z2.9092_0.059_1_R0_6_1</v>
      </c>
      <c r="K171" s="1" t="s">
        <v>16</v>
      </c>
      <c r="L171" s="1" t="str">
        <f aca="false">D167</f>
        <v>_Z2.9092_0.059_1_R0_6_1</v>
      </c>
      <c r="M171" s="1" t="s">
        <v>17</v>
      </c>
      <c r="P171" s="1" t="str">
        <f aca="false">_xlfn.CONCAT(H171:N171)</f>
        <v>s:Sc/PhaseSpAtPhaseVol_Z2.9092_0.059_1_R0_6_1/OutputFile                  = "PhaseSpASCII_Z2.9092_0.059_1_R0_6_1"</v>
      </c>
    </row>
    <row r="172" customFormat="false" ht="13.8" hidden="false" customHeight="false" outlineLevel="0" collapsed="false">
      <c r="B172" s="1"/>
      <c r="C172" s="1"/>
      <c r="D172" s="1"/>
      <c r="E172" s="1"/>
      <c r="F172" s="1"/>
      <c r="G172" s="1"/>
      <c r="H172" s="1" t="s">
        <v>18</v>
      </c>
      <c r="J172" s="1" t="str">
        <f aca="false">D167</f>
        <v>_Z2.9092_0.059_1_R0_6_1</v>
      </c>
      <c r="K172" s="1" t="s">
        <v>19</v>
      </c>
      <c r="P172" s="1" t="str">
        <f aca="false">_xlfn.CONCAT(H172:N172)</f>
        <v>i:Sc/PhaseSpAtPhaseVol_Z2.9092_0.059_1_R0_6_1/OutputBufferSize            = 1000</v>
      </c>
    </row>
    <row r="173" customFormat="false" ht="13.8" hidden="false" customHeight="false" outlineLevel="0" collapsed="false">
      <c r="B173" s="1"/>
      <c r="C173" s="1"/>
      <c r="D173" s="1"/>
      <c r="E173" s="1"/>
      <c r="F173" s="1"/>
      <c r="G173" s="1"/>
      <c r="H173" s="1" t="s">
        <v>20</v>
      </c>
      <c r="J173" s="1" t="str">
        <f aca="false">D167</f>
        <v>_Z2.9092_0.059_1_R0_6_1</v>
      </c>
      <c r="K173" s="1" t="s">
        <v>21</v>
      </c>
      <c r="P173" s="1" t="str">
        <f aca="false">_xlfn.CONCAT(H173:N173)</f>
        <v># s:Sc/PhaseSpAtPhaseVol_Z2.9092_0.059_1_R0_6_1/OnlyIncludeParticlesGoing  = "In"</v>
      </c>
    </row>
    <row r="174" customFormat="false" ht="13.8" hidden="false" customHeight="false" outlineLevel="0" collapsed="false">
      <c r="B174" s="1"/>
      <c r="C174" s="1"/>
      <c r="D174" s="1"/>
      <c r="E174" s="1"/>
      <c r="F174" s="1"/>
      <c r="G174" s="1"/>
      <c r="H174" s="1" t="s">
        <v>8</v>
      </c>
      <c r="J174" s="1" t="str">
        <f aca="false">D167</f>
        <v>_Z2.9092_0.059_1_R0_6_1</v>
      </c>
      <c r="K174" s="1" t="s">
        <v>22</v>
      </c>
      <c r="P174" s="1" t="str">
        <f aca="false">_xlfn.CONCAT(H174:N174)</f>
        <v>b:Sc/PhaseSpAtPhaseVol_Z2.9092_0.059_1_R0_6_1/IncludeRunID                = "True"</v>
      </c>
    </row>
    <row r="175" customFormat="false" ht="13.8" hidden="false" customHeight="false" outlineLevel="0" collapsed="false">
      <c r="B175" s="1"/>
      <c r="C175" s="1"/>
      <c r="D175" s="1"/>
      <c r="E175" s="1"/>
      <c r="F175" s="1"/>
      <c r="G175" s="1"/>
      <c r="H175" s="1" t="s">
        <v>8</v>
      </c>
      <c r="J175" s="1" t="str">
        <f aca="false">D167</f>
        <v>_Z2.9092_0.059_1_R0_6_1</v>
      </c>
      <c r="K175" s="1" t="s">
        <v>23</v>
      </c>
      <c r="P175" s="1" t="str">
        <f aca="false">_xlfn.CONCAT(H175:N175)</f>
        <v>b:Sc/PhaseSpAtPhaseVol_Z2.9092_0.059_1_R0_6_1/IncludeEventID              = "True"</v>
      </c>
    </row>
    <row r="176" customFormat="false" ht="13.8" hidden="false" customHeight="false" outlineLevel="0" collapsed="false">
      <c r="B176" s="1"/>
      <c r="C176" s="1"/>
      <c r="D176" s="1"/>
      <c r="E176" s="1"/>
      <c r="F176" s="1"/>
      <c r="G176" s="1"/>
      <c r="H176" s="1" t="s">
        <v>8</v>
      </c>
      <c r="J176" s="1" t="str">
        <f aca="false">D167</f>
        <v>_Z2.9092_0.059_1_R0_6_1</v>
      </c>
      <c r="K176" s="1" t="s">
        <v>24</v>
      </c>
      <c r="P176" s="1" t="str">
        <f aca="false">_xlfn.CONCAT(H176:N176)</f>
        <v>b:Sc/PhaseSpAtPhaseVol_Z2.9092_0.059_1_R0_6_1/IncludeTrackID              = "True"</v>
      </c>
    </row>
    <row r="177" customFormat="false" ht="13.8" hidden="false" customHeight="false" outlineLevel="0" collapsed="false">
      <c r="B177" s="1"/>
      <c r="C177" s="1"/>
      <c r="D177" s="1"/>
      <c r="E177" s="1"/>
      <c r="F177" s="1"/>
      <c r="G177" s="1"/>
      <c r="H177" s="1" t="s">
        <v>8</v>
      </c>
      <c r="J177" s="1" t="str">
        <f aca="false">D167</f>
        <v>_Z2.9092_0.059_1_R0_6_1</v>
      </c>
      <c r="K177" s="1" t="s">
        <v>25</v>
      </c>
      <c r="P177" s="1" t="str">
        <f aca="false">_xlfn.CONCAT(H177:N177)</f>
        <v>b:Sc/PhaseSpAtPhaseVol_Z2.9092_0.059_1_R0_6_1/IncludeTime                 = "True"</v>
      </c>
    </row>
    <row r="178" customFormat="false" ht="13.8" hidden="false" customHeight="false" outlineLevel="0" collapsed="false">
      <c r="B178" s="1"/>
      <c r="C178" s="1"/>
      <c r="D178" s="1"/>
      <c r="E178" s="1"/>
      <c r="F178" s="1"/>
      <c r="G178" s="1"/>
      <c r="H178" s="1" t="s">
        <v>8</v>
      </c>
      <c r="J178" s="1" t="str">
        <f aca="false">D167</f>
        <v>_Z2.9092_0.059_1_R0_6_1</v>
      </c>
      <c r="K178" s="1" t="s">
        <v>26</v>
      </c>
      <c r="P178" s="1" t="str">
        <f aca="false">_xlfn.CONCAT(H178:N178)</f>
        <v>b:Sc/PhaseSpAtPhaseVol_Z2.9092_0.059_1_R0_6_1/IncludeSeed                 = "True"</v>
      </c>
    </row>
    <row r="179" customFormat="false" ht="13.8" hidden="false" customHeight="false" outlineLevel="0" collapsed="false">
      <c r="B179" s="1"/>
      <c r="C179" s="1"/>
      <c r="D179" s="1"/>
      <c r="E179" s="1"/>
      <c r="F179" s="1"/>
      <c r="G179" s="1"/>
      <c r="H179" s="1" t="s">
        <v>1</v>
      </c>
      <c r="J179" s="1" t="str">
        <f aca="false">D167</f>
        <v>_Z2.9092_0.059_1_R0_6_1</v>
      </c>
      <c r="K179" s="1" t="s">
        <v>27</v>
      </c>
      <c r="P179" s="1" t="str">
        <f aca="false">_xlfn.CONCAT(H179:N179)</f>
        <v>s:Sc/PhaseSpAtPhaseVol_Z2.9092_0.059_1_R0_6_1/IfOutputFileAlreadyExists   = "Overwrite" # Exit, Overwrite or Increment</v>
      </c>
    </row>
    <row r="180" customFormat="false" ht="13.8" hidden="false" customHeight="false" outlineLevel="0" collapsed="false">
      <c r="B180" s="1"/>
      <c r="C180" s="1"/>
      <c r="D180" s="1"/>
      <c r="E180" s="1"/>
      <c r="F180" s="1"/>
      <c r="G180" s="1"/>
      <c r="H180" s="1" t="s">
        <v>8</v>
      </c>
      <c r="J180" s="1" t="str">
        <f aca="false">D167</f>
        <v>_Z2.9092_0.059_1_R0_6_1</v>
      </c>
      <c r="K180" s="1" t="s">
        <v>28</v>
      </c>
      <c r="P180" s="1" t="str">
        <f aca="false">_xlfn.CONCAT(H180:N180)</f>
        <v>b:Sc/PhaseSpAtPhaseVol_Z2.9092_0.059_1_R0_6_1/OutputAfterRun              = "True"</v>
      </c>
    </row>
    <row r="181" customFormat="false" ht="13.8" hidden="false" customHeight="false" outlineLevel="0" collapsed="false">
      <c r="B181" s="1"/>
      <c r="C181" s="1"/>
      <c r="D181" s="1"/>
      <c r="E181" s="1"/>
      <c r="F181" s="1"/>
      <c r="G181" s="1"/>
      <c r="H181" s="1" t="s">
        <v>29</v>
      </c>
      <c r="J181" s="1" t="str">
        <f aca="false">D167</f>
        <v>_Z2.9092_0.059_1_R0_6_1</v>
      </c>
      <c r="K181" s="1" t="s">
        <v>30</v>
      </c>
      <c r="P181" s="1" t="str">
        <f aca="false">_xlfn.CONCAT(H181:N181)</f>
        <v>s:Ge/PhaseVol_Z2.9092_0.059_1_R0_6_1/Parent     = "World"</v>
      </c>
    </row>
    <row r="182" customFormat="false" ht="13.8" hidden="false" customHeight="false" outlineLevel="0" collapsed="false">
      <c r="B182" s="1"/>
      <c r="C182" s="1"/>
      <c r="D182" s="1"/>
      <c r="E182" s="1"/>
      <c r="F182" s="1"/>
      <c r="G182" s="1"/>
      <c r="H182" s="1" t="s">
        <v>29</v>
      </c>
      <c r="J182" s="1" t="str">
        <f aca="false">D167</f>
        <v>_Z2.9092_0.059_1_R0_6_1</v>
      </c>
      <c r="K182" s="1" t="s">
        <v>31</v>
      </c>
      <c r="P182" s="1" t="str">
        <f aca="false">_xlfn.CONCAT(H182:N182)</f>
        <v>s:Ge/PhaseVol_Z2.9092_0.059_1_R0_6_1/Type       =  "TsCylinder"</v>
      </c>
    </row>
    <row r="183" customFormat="false" ht="13.8" hidden="false" customHeight="false" outlineLevel="0" collapsed="false">
      <c r="B183" s="1"/>
      <c r="C183" s="1"/>
      <c r="D183" s="1"/>
      <c r="E183" s="1"/>
      <c r="F183" s="1"/>
      <c r="G183" s="1"/>
      <c r="H183" s="1" t="s">
        <v>29</v>
      </c>
      <c r="J183" s="1" t="str">
        <f aca="false">D167</f>
        <v>_Z2.9092_0.059_1_R0_6_1</v>
      </c>
      <c r="K183" s="1" t="s">
        <v>32</v>
      </c>
      <c r="P183" s="1" t="str">
        <f aca="false">_xlfn.CONCAT(H183:N183)</f>
        <v>s:Ge/PhaseVol_Z2.9092_0.059_1_R0_6_1/Material   = "G4_WATER"</v>
      </c>
    </row>
    <row r="184" customFormat="false" ht="13.8" hidden="false" customHeight="false" outlineLevel="0" collapsed="false">
      <c r="B184" s="1"/>
      <c r="C184" s="1"/>
      <c r="D184" s="1"/>
      <c r="E184" s="1"/>
      <c r="F184" s="1"/>
      <c r="G184" s="1"/>
      <c r="H184" s="1" t="s">
        <v>33</v>
      </c>
      <c r="J184" s="1" t="str">
        <f aca="false">D167</f>
        <v>_Z2.9092_0.059_1_R0_6_1</v>
      </c>
      <c r="K184" s="1" t="s">
        <v>34</v>
      </c>
      <c r="L184" s="1" t="n">
        <f aca="false">D170+E170*(F170 -1)</f>
        <v>0</v>
      </c>
      <c r="M184" s="1" t="s">
        <v>35</v>
      </c>
      <c r="P184" s="1" t="str">
        <f aca="false">_xlfn.CONCAT(H184:N184)</f>
        <v>d:Ge/PhaseVol_Z2.9092_0.059_1_R0_6_1/Rmin =  0 cm</v>
      </c>
    </row>
    <row r="185" customFormat="false" ht="13.8" hidden="false" customHeight="false" outlineLevel="0" collapsed="false">
      <c r="B185" s="1"/>
      <c r="C185" s="1"/>
      <c r="D185" s="1"/>
      <c r="E185" s="1"/>
      <c r="F185" s="1"/>
      <c r="G185" s="1"/>
      <c r="H185" s="1" t="s">
        <v>33</v>
      </c>
      <c r="J185" s="1" t="str">
        <f aca="false">D167</f>
        <v>_Z2.9092_0.059_1_R0_6_1</v>
      </c>
      <c r="K185" s="1" t="s">
        <v>36</v>
      </c>
      <c r="L185" s="2" t="n">
        <f aca="false">D170+E170*(F170 )</f>
        <v>6</v>
      </c>
      <c r="M185" s="1" t="s">
        <v>35</v>
      </c>
      <c r="P185" s="1" t="str">
        <f aca="false">_xlfn.CONCAT(H185:N185)</f>
        <v>d:Ge/PhaseVol_Z2.9092_0.059_1_R0_6_1/Rmax = 6 cm</v>
      </c>
    </row>
    <row r="186" customFormat="false" ht="13.8" hidden="false" customHeight="false" outlineLevel="0" collapsed="false">
      <c r="B186" s="1"/>
      <c r="C186" s="1"/>
      <c r="D186" s="1"/>
      <c r="E186" s="1"/>
      <c r="F186" s="1"/>
      <c r="G186" s="1"/>
      <c r="H186" s="1" t="s">
        <v>33</v>
      </c>
      <c r="J186" s="1" t="str">
        <f aca="false">D167</f>
        <v>_Z2.9092_0.059_1_R0_6_1</v>
      </c>
      <c r="K186" s="1" t="s">
        <v>37</v>
      </c>
      <c r="L186" s="1" t="n">
        <f aca="false">0.5*E169</f>
        <v>0.0295</v>
      </c>
      <c r="M186" s="1" t="s">
        <v>35</v>
      </c>
      <c r="P186" s="1" t="str">
        <f aca="false">_xlfn.CONCAT(H186:N186)</f>
        <v>d:Ge/PhaseVol_Z2.9092_0.059_1_R0_6_1/HL = 0.0295 cm</v>
      </c>
    </row>
    <row r="187" customFormat="false" ht="16.95" hidden="false" customHeight="true" outlineLevel="0" collapsed="false">
      <c r="C187" s="1"/>
      <c r="D187" s="1"/>
      <c r="E187" s="1"/>
      <c r="F187" s="1"/>
      <c r="G187" s="1"/>
      <c r="H187" s="1" t="s">
        <v>33</v>
      </c>
      <c r="J187" s="1" t="str">
        <f aca="false">D167</f>
        <v>_Z2.9092_0.059_1_R0_6_1</v>
      </c>
      <c r="K187" s="3" t="s">
        <v>38</v>
      </c>
      <c r="L187" s="1" t="n">
        <v>0</v>
      </c>
      <c r="M187" s="1" t="s">
        <v>39</v>
      </c>
      <c r="P187" s="1" t="str">
        <f aca="false">_xlfn.CONCAT(H187:N187)</f>
        <v>d:Ge/PhaseVol_Z2.9092_0.059_1_R0_6_1/Sphi     = 0 deg</v>
      </c>
    </row>
    <row r="188" customFormat="false" ht="16.95" hidden="false" customHeight="true" outlineLevel="0" collapsed="false">
      <c r="C188" s="1"/>
      <c r="D188" s="1"/>
      <c r="E188" s="1"/>
      <c r="F188" s="1"/>
      <c r="G188" s="1"/>
      <c r="H188" s="1" t="s">
        <v>33</v>
      </c>
      <c r="I188" s="1"/>
      <c r="J188" s="1" t="str">
        <f aca="false">D167</f>
        <v>_Z2.9092_0.059_1_R0_6_1</v>
      </c>
      <c r="K188" s="1" t="s">
        <v>40</v>
      </c>
      <c r="L188" s="1" t="n">
        <v>360</v>
      </c>
      <c r="M188" s="1" t="s">
        <v>39</v>
      </c>
      <c r="P188" s="1" t="str">
        <f aca="false">_xlfn.CONCAT(H188:N188)</f>
        <v>d:Ge/PhaseVol_Z2.9092_0.059_1_R0_6_1/Dphi     = 360 deg</v>
      </c>
    </row>
    <row r="189" customFormat="false" ht="16.95" hidden="false" customHeight="true" outlineLevel="0" collapsed="false">
      <c r="C189" s="1"/>
      <c r="D189" s="1"/>
      <c r="E189" s="1"/>
      <c r="F189" s="1"/>
      <c r="G189" s="1"/>
      <c r="H189" s="1" t="s">
        <v>33</v>
      </c>
      <c r="J189" s="1" t="str">
        <f aca="false">D167</f>
        <v>_Z2.9092_0.059_1_R0_6_1</v>
      </c>
      <c r="K189" s="1" t="s">
        <v>41</v>
      </c>
      <c r="L189" s="1" t="n">
        <v>0</v>
      </c>
      <c r="M189" s="1" t="s">
        <v>35</v>
      </c>
      <c r="P189" s="1" t="str">
        <f aca="false">_xlfn.CONCAT(H189:N189)</f>
        <v>d:Ge/PhaseVol_Z2.9092_0.059_1_R0_6_1/TransX   =  0 cm</v>
      </c>
    </row>
    <row r="190" customFormat="false" ht="16.95" hidden="false" customHeight="true" outlineLevel="0" collapsed="false">
      <c r="C190" s="1"/>
      <c r="D190" s="1"/>
      <c r="E190" s="1"/>
      <c r="F190" s="1"/>
      <c r="G190" s="1"/>
      <c r="H190" s="1" t="s">
        <v>33</v>
      </c>
      <c r="J190" s="1" t="str">
        <f aca="false">D167</f>
        <v>_Z2.9092_0.059_1_R0_6_1</v>
      </c>
      <c r="K190" s="1" t="s">
        <v>42</v>
      </c>
      <c r="L190" s="1" t="n">
        <v>0</v>
      </c>
      <c r="M190" s="1" t="s">
        <v>35</v>
      </c>
      <c r="P190" s="1" t="str">
        <f aca="false">_xlfn.CONCAT(H190:N190)</f>
        <v>d:Ge/PhaseVol_Z2.9092_0.059_1_R0_6_1/TransY   =  0 cm</v>
      </c>
    </row>
    <row r="191" customFormat="false" ht="16.95" hidden="false" customHeight="true" outlineLevel="0" collapsed="false">
      <c r="C191" s="1"/>
      <c r="D191" s="1"/>
      <c r="E191" s="1"/>
      <c r="F191" s="1"/>
      <c r="G191" s="1"/>
      <c r="H191" s="1" t="s">
        <v>33</v>
      </c>
      <c r="J191" s="1" t="str">
        <f aca="false">D167</f>
        <v>_Z2.9092_0.059_1_R0_6_1</v>
      </c>
      <c r="K191" s="1" t="s">
        <v>43</v>
      </c>
      <c r="L191" s="1" t="n">
        <f aca="false">-1*(D169-0.5*E169+E169*(F169))</f>
        <v>-2.9387</v>
      </c>
      <c r="M191" s="1" t="s">
        <v>35</v>
      </c>
      <c r="P191" s="1" t="str">
        <f aca="false">_xlfn.CONCAT(H191:N191)</f>
        <v>d:Ge/PhaseVol_Z2.9092_0.059_1_R0_6_1/TransZ   =  -2.9387 cm</v>
      </c>
    </row>
    <row r="192" customFormat="false" ht="16.95" hidden="false" customHeight="true" outlineLevel="0" collapsed="false">
      <c r="B192" s="1"/>
      <c r="C192" s="1"/>
      <c r="D192" s="1"/>
      <c r="E192" s="1"/>
      <c r="F192" s="1"/>
      <c r="G192" s="1"/>
      <c r="H192" s="1" t="s">
        <v>33</v>
      </c>
      <c r="J192" s="1" t="str">
        <f aca="false">D167</f>
        <v>_Z2.9092_0.059_1_R0_6_1</v>
      </c>
      <c r="K192" s="1" t="s">
        <v>44</v>
      </c>
      <c r="L192" s="1" t="n">
        <v>0</v>
      </c>
      <c r="M192" s="1" t="s">
        <v>39</v>
      </c>
      <c r="P192" s="1" t="str">
        <f aca="false">_xlfn.CONCAT(H192:N192)</f>
        <v>d:Ge/PhaseVol_Z2.9092_0.059_1_R0_6_1/RotX     = 0 deg</v>
      </c>
    </row>
    <row r="193" customFormat="false" ht="16.95" hidden="false" customHeight="true" outlineLevel="0" collapsed="false">
      <c r="B193" s="1"/>
      <c r="C193" s="1"/>
      <c r="D193" s="1"/>
      <c r="E193" s="1"/>
      <c r="F193" s="1"/>
      <c r="G193" s="1"/>
      <c r="H193" s="1" t="s">
        <v>33</v>
      </c>
      <c r="J193" s="1" t="str">
        <f aca="false">D167</f>
        <v>_Z2.9092_0.059_1_R0_6_1</v>
      </c>
      <c r="K193" s="1" t="s">
        <v>45</v>
      </c>
      <c r="L193" s="1" t="n">
        <v>0</v>
      </c>
      <c r="M193" s="1" t="s">
        <v>39</v>
      </c>
      <c r="P193" s="1" t="str">
        <f aca="false">_xlfn.CONCAT(H193:N193)</f>
        <v>d:Ge/PhaseVol_Z2.9092_0.059_1_R0_6_1/RotY     =  0 deg</v>
      </c>
    </row>
    <row r="194" customFormat="false" ht="16.95" hidden="false" customHeight="true" outlineLevel="0" collapsed="false">
      <c r="B194" s="1"/>
      <c r="C194" s="1"/>
      <c r="D194" s="1"/>
      <c r="E194" s="1"/>
      <c r="F194" s="1"/>
      <c r="G194" s="1"/>
      <c r="H194" s="1" t="s">
        <v>33</v>
      </c>
      <c r="J194" s="1" t="str">
        <f aca="false">D167</f>
        <v>_Z2.9092_0.059_1_R0_6_1</v>
      </c>
      <c r="K194" s="1" t="s">
        <v>46</v>
      </c>
      <c r="L194" s="1" t="n">
        <v>0</v>
      </c>
      <c r="M194" s="1" t="s">
        <v>39</v>
      </c>
      <c r="P194" s="1" t="str">
        <f aca="false">_xlfn.CONCAT(H194:N194)</f>
        <v>d:Ge/PhaseVol_Z2.9092_0.059_1_R0_6_1/RotZ     = 0 deg</v>
      </c>
    </row>
    <row r="195" customFormat="false" ht="16.95" hidden="false" customHeight="true" outlineLevel="0" collapsed="false">
      <c r="B195" s="1"/>
      <c r="C195" s="1"/>
      <c r="D195" s="1"/>
      <c r="E195" s="1"/>
      <c r="F195" s="1"/>
      <c r="G195" s="1"/>
      <c r="H195" s="1" t="s">
        <v>29</v>
      </c>
      <c r="J195" s="1" t="str">
        <f aca="false">D167</f>
        <v>_Z2.9092_0.059_1_R0_6_1</v>
      </c>
      <c r="K195" s="1" t="s">
        <v>47</v>
      </c>
      <c r="P195" s="1" t="str">
        <f aca="false">_xlfn.CONCAT(H195:N195)</f>
        <v>s:Ge/PhaseVol_Z2.9092_0.059_1_R0_6_1/Color    = "blue"</v>
      </c>
    </row>
    <row r="196" customFormat="false" ht="16.95" hidden="false" customHeight="true" outlineLevel="0" collapsed="false">
      <c r="B196" s="1"/>
      <c r="C196" s="1"/>
      <c r="D196" s="1"/>
      <c r="E196" s="1"/>
      <c r="F196" s="1"/>
      <c r="G196" s="1"/>
      <c r="H196" s="1" t="s">
        <v>48</v>
      </c>
      <c r="J196" s="1" t="str">
        <f aca="false">D167</f>
        <v>_Z2.9092_0.059_1_R0_6_1</v>
      </c>
      <c r="K196" s="1" t="s">
        <v>49</v>
      </c>
      <c r="L196" s="4" t="n">
        <f aca="false">G169</f>
        <v>20</v>
      </c>
      <c r="P196" s="1" t="str">
        <f aca="false">_xlfn.CONCAT(H196:N196)</f>
        <v>i:Ge/PhaseVol_Z2.9092_0.059_1_R0_6_1/Zbins    =  20</v>
      </c>
    </row>
    <row r="197" customFormat="false" ht="13.8" hidden="false" customHeight="false" outlineLevel="0" collapsed="false">
      <c r="H197" s="1" t="s">
        <v>48</v>
      </c>
      <c r="J197" s="1" t="str">
        <f aca="false">D167</f>
        <v>_Z2.9092_0.059_1_R0_6_1</v>
      </c>
      <c r="K197" s="1" t="s">
        <v>50</v>
      </c>
      <c r="L197" s="4" t="n">
        <f aca="false">G170</f>
        <v>1</v>
      </c>
      <c r="P197" s="1" t="str">
        <f aca="false">_xlfn.CONCAT(H197:N197)</f>
        <v>i:Ge/PhaseVol_Z2.9092_0.059_1_R0_6_1/Rbins    =  1</v>
      </c>
    </row>
    <row r="198" customFormat="false" ht="13.8" hidden="false" customHeight="false" outlineLevel="0" collapsed="false">
      <c r="H198" s="1" t="s">
        <v>48</v>
      </c>
      <c r="J198" s="1" t="str">
        <f aca="false">D167</f>
        <v>_Z2.9092_0.059_1_R0_6_1</v>
      </c>
      <c r="K198" s="1" t="s">
        <v>51</v>
      </c>
      <c r="L198" s="4" t="n">
        <f aca="false">G171</f>
        <v>1</v>
      </c>
      <c r="P198" s="1" t="str">
        <f aca="false">_xlfn.CONCAT(H198:N198)</f>
        <v>i:Ge/PhaseVol_Z2.9092_0.059_1_R0_6_1/PhiBins    =  1</v>
      </c>
    </row>
    <row r="200" customFormat="false" ht="13.8" hidden="false" customHeight="false" outlineLevel="0" collapsed="false">
      <c r="C200" s="1" t="s">
        <v>0</v>
      </c>
      <c r="D200" s="1" t="str">
        <f aca="false">(IF(D202&lt;0,"_Zm","_Z"))&amp;ABS(D202)&amp;"_"&amp;E202&amp;"_"&amp;F202&amp;"_R"&amp;D203&amp;"_"&amp;E203&amp;"_"&amp;F203</f>
        <v>_Z2.9682_0.0241_1_R0_6_1</v>
      </c>
      <c r="H200" s="1" t="s">
        <v>1</v>
      </c>
      <c r="J200" s="1" t="str">
        <f aca="false">D200</f>
        <v>_Z2.9682_0.0241_1_R0_6_1</v>
      </c>
      <c r="K200" s="1" t="s">
        <v>2</v>
      </c>
      <c r="P200" s="1" t="str">
        <f aca="false">_xlfn.CONCAT(H200:N200)</f>
        <v>s:Sc/PhaseSpAtPhaseVol_Z2.9682_0.0241_1_R0_6_1/Quantity                    = "PhaseSpace"</v>
      </c>
    </row>
    <row r="201" customFormat="false" ht="13.8" hidden="false" customHeight="false" outlineLevel="0" collapsed="false">
      <c r="B201" s="1"/>
      <c r="C201" s="1" t="s">
        <v>3</v>
      </c>
      <c r="D201" s="1" t="s">
        <v>4</v>
      </c>
      <c r="E201" s="1" t="s">
        <v>5</v>
      </c>
      <c r="F201" s="1" t="s">
        <v>6</v>
      </c>
      <c r="G201" s="1" t="s">
        <v>7</v>
      </c>
      <c r="H201" s="1" t="s">
        <v>8</v>
      </c>
      <c r="J201" s="1" t="str">
        <f aca="false">D200</f>
        <v>_Z2.9682_0.0241_1_R0_6_1</v>
      </c>
      <c r="K201" s="1" t="s">
        <v>9</v>
      </c>
      <c r="P201" s="1" t="str">
        <f aca="false">_xlfn.CONCAT(H201:N201)</f>
        <v>b:Sc/PhaseSpAtPhaseVol_Z2.9682_0.0241_1_R0_6_1/OutputToConsole             = "True"</v>
      </c>
    </row>
    <row r="202" customFormat="false" ht="13.8" hidden="false" customHeight="false" outlineLevel="0" collapsed="false">
      <c r="B202" s="1"/>
      <c r="C202" s="1" t="s">
        <v>10</v>
      </c>
      <c r="D202" s="1" t="n">
        <f aca="false">D169+E169</f>
        <v>2.9682</v>
      </c>
      <c r="E202" s="0" t="n">
        <v>0.0241</v>
      </c>
      <c r="F202" s="1" t="n">
        <v>1</v>
      </c>
      <c r="G202" s="1" t="n">
        <v>20</v>
      </c>
      <c r="H202" s="1" t="s">
        <v>1</v>
      </c>
      <c r="J202" s="1" t="str">
        <f aca="false">D200</f>
        <v>_Z2.9682_0.0241_1_R0_6_1</v>
      </c>
      <c r="K202" s="1" t="s">
        <v>11</v>
      </c>
      <c r="L202" s="1" t="str">
        <f aca="false">D200</f>
        <v>_Z2.9682_0.0241_1_R0_6_1</v>
      </c>
      <c r="M202" s="1" t="s">
        <v>12</v>
      </c>
      <c r="P202" s="1" t="str">
        <f aca="false">_xlfn.CONCAT(H202:N202)</f>
        <v>s:Sc/PhaseSpAtPhaseVol_Z2.9682_0.0241_1_R0_6_1/Surface                     = "PhaseVol_Z2.9682_0.0241_1_R0_6_1/ZMinusSurface"</v>
      </c>
    </row>
    <row r="203" customFormat="false" ht="13.8" hidden="false" customHeight="false" outlineLevel="0" collapsed="false">
      <c r="B203" s="1"/>
      <c r="C203" s="1" t="s">
        <v>13</v>
      </c>
      <c r="D203" s="1" t="n">
        <v>0</v>
      </c>
      <c r="E203" s="1" t="n">
        <f aca="false">E170</f>
        <v>6</v>
      </c>
      <c r="F203" s="1" t="n">
        <v>1</v>
      </c>
      <c r="G203" s="1" t="n">
        <v>1</v>
      </c>
      <c r="H203" s="1" t="s">
        <v>1</v>
      </c>
      <c r="J203" s="1" t="str">
        <f aca="false">D200</f>
        <v>_Z2.9682_0.0241_1_R0_6_1</v>
      </c>
      <c r="K203" s="1" t="s">
        <v>14</v>
      </c>
      <c r="P203" s="1" t="str">
        <f aca="false">_xlfn.CONCAT(H203:N203)</f>
        <v>s:Sc/PhaseSpAtPhaseVol_Z2.9682_0.0241_1_R0_6_1/OutputType                  = "ASCII" # ASCII or Binary</v>
      </c>
    </row>
    <row r="204" customFormat="false" ht="13.8" hidden="false" customHeight="false" outlineLevel="0" collapsed="false">
      <c r="B204" s="1"/>
      <c r="C204" s="1" t="s">
        <v>15</v>
      </c>
      <c r="D204" s="1"/>
      <c r="E204" s="1"/>
      <c r="F204" s="1"/>
      <c r="G204" s="1" t="n">
        <v>1</v>
      </c>
      <c r="H204" s="1" t="s">
        <v>1</v>
      </c>
      <c r="J204" s="1" t="str">
        <f aca="false">D200</f>
        <v>_Z2.9682_0.0241_1_R0_6_1</v>
      </c>
      <c r="K204" s="1" t="s">
        <v>16</v>
      </c>
      <c r="L204" s="1" t="str">
        <f aca="false">D200</f>
        <v>_Z2.9682_0.0241_1_R0_6_1</v>
      </c>
      <c r="M204" s="1" t="s">
        <v>17</v>
      </c>
      <c r="P204" s="1" t="str">
        <f aca="false">_xlfn.CONCAT(H204:N204)</f>
        <v>s:Sc/PhaseSpAtPhaseVol_Z2.9682_0.0241_1_R0_6_1/OutputFile                  = "PhaseSpASCII_Z2.9682_0.0241_1_R0_6_1"</v>
      </c>
    </row>
    <row r="205" customFormat="false" ht="13.8" hidden="false" customHeight="false" outlineLevel="0" collapsed="false">
      <c r="B205" s="1"/>
      <c r="C205" s="1"/>
      <c r="D205" s="1"/>
      <c r="E205" s="1"/>
      <c r="F205" s="1"/>
      <c r="G205" s="1"/>
      <c r="H205" s="1" t="s">
        <v>18</v>
      </c>
      <c r="J205" s="1" t="str">
        <f aca="false">D200</f>
        <v>_Z2.9682_0.0241_1_R0_6_1</v>
      </c>
      <c r="K205" s="1" t="s">
        <v>19</v>
      </c>
      <c r="P205" s="1" t="str">
        <f aca="false">_xlfn.CONCAT(H205:N205)</f>
        <v>i:Sc/PhaseSpAtPhaseVol_Z2.9682_0.0241_1_R0_6_1/OutputBufferSize            = 1000</v>
      </c>
    </row>
    <row r="206" customFormat="false" ht="13.8" hidden="false" customHeight="false" outlineLevel="0" collapsed="false">
      <c r="B206" s="1"/>
      <c r="C206" s="1"/>
      <c r="D206" s="1"/>
      <c r="E206" s="1"/>
      <c r="F206" s="1"/>
      <c r="G206" s="1"/>
      <c r="H206" s="1" t="s">
        <v>20</v>
      </c>
      <c r="J206" s="1" t="str">
        <f aca="false">D200</f>
        <v>_Z2.9682_0.0241_1_R0_6_1</v>
      </c>
      <c r="K206" s="1" t="s">
        <v>21</v>
      </c>
      <c r="P206" s="1" t="str">
        <f aca="false">_xlfn.CONCAT(H206:N206)</f>
        <v># s:Sc/PhaseSpAtPhaseVol_Z2.9682_0.0241_1_R0_6_1/OnlyIncludeParticlesGoing  = "In"</v>
      </c>
    </row>
    <row r="207" customFormat="false" ht="13.8" hidden="false" customHeight="false" outlineLevel="0" collapsed="false">
      <c r="B207" s="1"/>
      <c r="C207" s="1"/>
      <c r="D207" s="1"/>
      <c r="E207" s="1"/>
      <c r="F207" s="1"/>
      <c r="G207" s="1"/>
      <c r="H207" s="1" t="s">
        <v>8</v>
      </c>
      <c r="J207" s="1" t="str">
        <f aca="false">D200</f>
        <v>_Z2.9682_0.0241_1_R0_6_1</v>
      </c>
      <c r="K207" s="1" t="s">
        <v>22</v>
      </c>
      <c r="P207" s="1" t="str">
        <f aca="false">_xlfn.CONCAT(H207:N207)</f>
        <v>b:Sc/PhaseSpAtPhaseVol_Z2.9682_0.0241_1_R0_6_1/IncludeRunID                = "True"</v>
      </c>
    </row>
    <row r="208" customFormat="false" ht="13.8" hidden="false" customHeight="false" outlineLevel="0" collapsed="false">
      <c r="B208" s="1"/>
      <c r="C208" s="1"/>
      <c r="D208" s="1"/>
      <c r="E208" s="1"/>
      <c r="F208" s="1"/>
      <c r="G208" s="1"/>
      <c r="H208" s="1" t="s">
        <v>8</v>
      </c>
      <c r="J208" s="1" t="str">
        <f aca="false">D200</f>
        <v>_Z2.9682_0.0241_1_R0_6_1</v>
      </c>
      <c r="K208" s="1" t="s">
        <v>23</v>
      </c>
      <c r="P208" s="1" t="str">
        <f aca="false">_xlfn.CONCAT(H208:N208)</f>
        <v>b:Sc/PhaseSpAtPhaseVol_Z2.9682_0.0241_1_R0_6_1/IncludeEventID              = "True"</v>
      </c>
    </row>
    <row r="209" customFormat="false" ht="13.8" hidden="false" customHeight="false" outlineLevel="0" collapsed="false">
      <c r="B209" s="1"/>
      <c r="C209" s="1"/>
      <c r="D209" s="1"/>
      <c r="E209" s="1"/>
      <c r="F209" s="1"/>
      <c r="G209" s="1"/>
      <c r="H209" s="1" t="s">
        <v>8</v>
      </c>
      <c r="J209" s="1" t="str">
        <f aca="false">D200</f>
        <v>_Z2.9682_0.0241_1_R0_6_1</v>
      </c>
      <c r="K209" s="1" t="s">
        <v>24</v>
      </c>
      <c r="P209" s="1" t="str">
        <f aca="false">_xlfn.CONCAT(H209:N209)</f>
        <v>b:Sc/PhaseSpAtPhaseVol_Z2.9682_0.0241_1_R0_6_1/IncludeTrackID              = "True"</v>
      </c>
    </row>
    <row r="210" customFormat="false" ht="13.8" hidden="false" customHeight="false" outlineLevel="0" collapsed="false">
      <c r="B210" s="1"/>
      <c r="C210" s="1"/>
      <c r="D210" s="1"/>
      <c r="E210" s="1"/>
      <c r="F210" s="1"/>
      <c r="G210" s="1"/>
      <c r="H210" s="1" t="s">
        <v>8</v>
      </c>
      <c r="J210" s="1" t="str">
        <f aca="false">D200</f>
        <v>_Z2.9682_0.0241_1_R0_6_1</v>
      </c>
      <c r="K210" s="1" t="s">
        <v>25</v>
      </c>
      <c r="P210" s="1" t="str">
        <f aca="false">_xlfn.CONCAT(H210:N210)</f>
        <v>b:Sc/PhaseSpAtPhaseVol_Z2.9682_0.0241_1_R0_6_1/IncludeTime                 = "True"</v>
      </c>
    </row>
    <row r="211" customFormat="false" ht="13.8" hidden="false" customHeight="false" outlineLevel="0" collapsed="false">
      <c r="B211" s="1"/>
      <c r="C211" s="1"/>
      <c r="D211" s="1"/>
      <c r="E211" s="1"/>
      <c r="F211" s="1"/>
      <c r="G211" s="1"/>
      <c r="H211" s="1" t="s">
        <v>8</v>
      </c>
      <c r="J211" s="1" t="str">
        <f aca="false">D200</f>
        <v>_Z2.9682_0.0241_1_R0_6_1</v>
      </c>
      <c r="K211" s="1" t="s">
        <v>26</v>
      </c>
      <c r="P211" s="1" t="str">
        <f aca="false">_xlfn.CONCAT(H211:N211)</f>
        <v>b:Sc/PhaseSpAtPhaseVol_Z2.9682_0.0241_1_R0_6_1/IncludeSeed                 = "True"</v>
      </c>
    </row>
    <row r="212" customFormat="false" ht="13.8" hidden="false" customHeight="false" outlineLevel="0" collapsed="false">
      <c r="B212" s="1"/>
      <c r="C212" s="1"/>
      <c r="D212" s="1"/>
      <c r="E212" s="1"/>
      <c r="F212" s="1"/>
      <c r="G212" s="1"/>
      <c r="H212" s="1" t="s">
        <v>1</v>
      </c>
      <c r="J212" s="1" t="str">
        <f aca="false">D200</f>
        <v>_Z2.9682_0.0241_1_R0_6_1</v>
      </c>
      <c r="K212" s="1" t="s">
        <v>27</v>
      </c>
      <c r="P212" s="1" t="str">
        <f aca="false">_xlfn.CONCAT(H212:N212)</f>
        <v>s:Sc/PhaseSpAtPhaseVol_Z2.9682_0.0241_1_R0_6_1/IfOutputFileAlreadyExists   = "Overwrite" # Exit, Overwrite or Increment</v>
      </c>
    </row>
    <row r="213" customFormat="false" ht="13.8" hidden="false" customHeight="false" outlineLevel="0" collapsed="false">
      <c r="B213" s="1"/>
      <c r="C213" s="1"/>
      <c r="D213" s="1"/>
      <c r="E213" s="1"/>
      <c r="F213" s="1"/>
      <c r="G213" s="1"/>
      <c r="H213" s="1" t="s">
        <v>8</v>
      </c>
      <c r="J213" s="1" t="str">
        <f aca="false">D200</f>
        <v>_Z2.9682_0.0241_1_R0_6_1</v>
      </c>
      <c r="K213" s="1" t="s">
        <v>28</v>
      </c>
      <c r="P213" s="1" t="str">
        <f aca="false">_xlfn.CONCAT(H213:N213)</f>
        <v>b:Sc/PhaseSpAtPhaseVol_Z2.9682_0.0241_1_R0_6_1/OutputAfterRun              = "True"</v>
      </c>
    </row>
    <row r="214" customFormat="false" ht="13.8" hidden="false" customHeight="false" outlineLevel="0" collapsed="false">
      <c r="B214" s="1"/>
      <c r="C214" s="1"/>
      <c r="D214" s="1"/>
      <c r="E214" s="1"/>
      <c r="F214" s="1"/>
      <c r="G214" s="1"/>
      <c r="H214" s="1" t="s">
        <v>29</v>
      </c>
      <c r="J214" s="1" t="str">
        <f aca="false">D200</f>
        <v>_Z2.9682_0.0241_1_R0_6_1</v>
      </c>
      <c r="K214" s="1" t="s">
        <v>30</v>
      </c>
      <c r="P214" s="1" t="str">
        <f aca="false">_xlfn.CONCAT(H214:N214)</f>
        <v>s:Ge/PhaseVol_Z2.9682_0.0241_1_R0_6_1/Parent     = "World"</v>
      </c>
    </row>
    <row r="215" customFormat="false" ht="13.8" hidden="false" customHeight="false" outlineLevel="0" collapsed="false">
      <c r="B215" s="1"/>
      <c r="C215" s="1"/>
      <c r="D215" s="1"/>
      <c r="E215" s="1"/>
      <c r="F215" s="1"/>
      <c r="G215" s="1"/>
      <c r="H215" s="1" t="s">
        <v>29</v>
      </c>
      <c r="J215" s="1" t="str">
        <f aca="false">D200</f>
        <v>_Z2.9682_0.0241_1_R0_6_1</v>
      </c>
      <c r="K215" s="1" t="s">
        <v>31</v>
      </c>
      <c r="P215" s="1" t="str">
        <f aca="false">_xlfn.CONCAT(H215:N215)</f>
        <v>s:Ge/PhaseVol_Z2.9682_0.0241_1_R0_6_1/Type       =  "TsCylinder"</v>
      </c>
    </row>
    <row r="216" customFormat="false" ht="13.8" hidden="false" customHeight="false" outlineLevel="0" collapsed="false">
      <c r="B216" s="1"/>
      <c r="C216" s="1"/>
      <c r="D216" s="1"/>
      <c r="E216" s="1"/>
      <c r="F216" s="1"/>
      <c r="G216" s="1"/>
      <c r="H216" s="1" t="s">
        <v>29</v>
      </c>
      <c r="J216" s="1" t="str">
        <f aca="false">D200</f>
        <v>_Z2.9682_0.0241_1_R0_6_1</v>
      </c>
      <c r="K216" s="1" t="s">
        <v>32</v>
      </c>
      <c r="P216" s="1" t="str">
        <f aca="false">_xlfn.CONCAT(H216:N216)</f>
        <v>s:Ge/PhaseVol_Z2.9682_0.0241_1_R0_6_1/Material   = "G4_WATER"</v>
      </c>
    </row>
    <row r="217" customFormat="false" ht="13.8" hidden="false" customHeight="false" outlineLevel="0" collapsed="false">
      <c r="B217" s="1"/>
      <c r="C217" s="1"/>
      <c r="D217" s="1"/>
      <c r="E217" s="1"/>
      <c r="F217" s="1"/>
      <c r="G217" s="1"/>
      <c r="H217" s="1" t="s">
        <v>33</v>
      </c>
      <c r="J217" s="1" t="str">
        <f aca="false">D200</f>
        <v>_Z2.9682_0.0241_1_R0_6_1</v>
      </c>
      <c r="K217" s="1" t="s">
        <v>34</v>
      </c>
      <c r="L217" s="1" t="n">
        <f aca="false">D203+E203*(F203 -1)</f>
        <v>0</v>
      </c>
      <c r="M217" s="1" t="s">
        <v>35</v>
      </c>
      <c r="P217" s="1" t="str">
        <f aca="false">_xlfn.CONCAT(H217:N217)</f>
        <v>d:Ge/PhaseVol_Z2.9682_0.0241_1_R0_6_1/Rmin =  0 cm</v>
      </c>
    </row>
    <row r="218" customFormat="false" ht="13.8" hidden="false" customHeight="false" outlineLevel="0" collapsed="false">
      <c r="B218" s="1"/>
      <c r="C218" s="1"/>
      <c r="D218" s="1"/>
      <c r="E218" s="1"/>
      <c r="F218" s="1"/>
      <c r="G218" s="1"/>
      <c r="H218" s="1" t="s">
        <v>33</v>
      </c>
      <c r="J218" s="1" t="str">
        <f aca="false">D200</f>
        <v>_Z2.9682_0.0241_1_R0_6_1</v>
      </c>
      <c r="K218" s="1" t="s">
        <v>36</v>
      </c>
      <c r="L218" s="2" t="n">
        <f aca="false">D203+E203*(F203 )</f>
        <v>6</v>
      </c>
      <c r="M218" s="1" t="s">
        <v>35</v>
      </c>
      <c r="P218" s="1" t="str">
        <f aca="false">_xlfn.CONCAT(H218:N218)</f>
        <v>d:Ge/PhaseVol_Z2.9682_0.0241_1_R0_6_1/Rmax = 6 cm</v>
      </c>
    </row>
    <row r="219" customFormat="false" ht="13.8" hidden="false" customHeight="false" outlineLevel="0" collapsed="false">
      <c r="B219" s="1"/>
      <c r="C219" s="1"/>
      <c r="D219" s="1"/>
      <c r="E219" s="1"/>
      <c r="F219" s="1"/>
      <c r="G219" s="1"/>
      <c r="H219" s="1" t="s">
        <v>33</v>
      </c>
      <c r="J219" s="1" t="str">
        <f aca="false">D200</f>
        <v>_Z2.9682_0.0241_1_R0_6_1</v>
      </c>
      <c r="K219" s="1" t="s">
        <v>37</v>
      </c>
      <c r="L219" s="1" t="n">
        <f aca="false">0.5*E202</f>
        <v>0.01205</v>
      </c>
      <c r="M219" s="1" t="s">
        <v>35</v>
      </c>
      <c r="P219" s="1" t="str">
        <f aca="false">_xlfn.CONCAT(H219:N219)</f>
        <v>d:Ge/PhaseVol_Z2.9682_0.0241_1_R0_6_1/HL = 0.01205 cm</v>
      </c>
    </row>
    <row r="220" customFormat="false" ht="16.95" hidden="false" customHeight="true" outlineLevel="0" collapsed="false">
      <c r="B220" s="1"/>
      <c r="C220" s="1"/>
      <c r="D220" s="1"/>
      <c r="E220" s="1"/>
      <c r="F220" s="1"/>
      <c r="G220" s="1"/>
      <c r="H220" s="1" t="s">
        <v>33</v>
      </c>
      <c r="J220" s="1" t="str">
        <f aca="false">D200</f>
        <v>_Z2.9682_0.0241_1_R0_6_1</v>
      </c>
      <c r="K220" s="3" t="s">
        <v>38</v>
      </c>
      <c r="L220" s="1" t="n">
        <v>0</v>
      </c>
      <c r="M220" s="1" t="s">
        <v>39</v>
      </c>
      <c r="P220" s="1" t="str">
        <f aca="false">_xlfn.CONCAT(H220:N220)</f>
        <v>d:Ge/PhaseVol_Z2.9682_0.0241_1_R0_6_1/Sphi     = 0 deg</v>
      </c>
    </row>
    <row r="221" customFormat="false" ht="16.95" hidden="false" customHeight="true" outlineLevel="0" collapsed="false">
      <c r="B221" s="1"/>
      <c r="C221" s="1"/>
      <c r="D221" s="1"/>
      <c r="E221" s="1"/>
      <c r="F221" s="1"/>
      <c r="G221" s="1"/>
      <c r="H221" s="1" t="s">
        <v>33</v>
      </c>
      <c r="I221" s="1"/>
      <c r="J221" s="1" t="str">
        <f aca="false">D200</f>
        <v>_Z2.9682_0.0241_1_R0_6_1</v>
      </c>
      <c r="K221" s="1" t="s">
        <v>40</v>
      </c>
      <c r="L221" s="1" t="n">
        <v>360</v>
      </c>
      <c r="M221" s="1" t="s">
        <v>39</v>
      </c>
      <c r="P221" s="1" t="str">
        <f aca="false">_xlfn.CONCAT(H221:N221)</f>
        <v>d:Ge/PhaseVol_Z2.9682_0.0241_1_R0_6_1/Dphi     = 360 deg</v>
      </c>
    </row>
    <row r="222" customFormat="false" ht="16.95" hidden="false" customHeight="true" outlineLevel="0" collapsed="false">
      <c r="B222" s="1"/>
      <c r="C222" s="1"/>
      <c r="D222" s="1"/>
      <c r="E222" s="1"/>
      <c r="F222" s="1"/>
      <c r="G222" s="1"/>
      <c r="H222" s="1" t="s">
        <v>33</v>
      </c>
      <c r="J222" s="1" t="str">
        <f aca="false">D200</f>
        <v>_Z2.9682_0.0241_1_R0_6_1</v>
      </c>
      <c r="K222" s="1" t="s">
        <v>41</v>
      </c>
      <c r="L222" s="1" t="n">
        <v>0</v>
      </c>
      <c r="M222" s="1" t="s">
        <v>35</v>
      </c>
      <c r="P222" s="1" t="str">
        <f aca="false">_xlfn.CONCAT(H222:N222)</f>
        <v>d:Ge/PhaseVol_Z2.9682_0.0241_1_R0_6_1/TransX   =  0 cm</v>
      </c>
    </row>
    <row r="223" customFormat="false" ht="16.95" hidden="false" customHeight="true" outlineLevel="0" collapsed="false">
      <c r="B223" s="1"/>
      <c r="C223" s="1"/>
      <c r="D223" s="1"/>
      <c r="E223" s="1"/>
      <c r="F223" s="1"/>
      <c r="G223" s="1"/>
      <c r="H223" s="1" t="s">
        <v>33</v>
      </c>
      <c r="J223" s="1" t="str">
        <f aca="false">D200</f>
        <v>_Z2.9682_0.0241_1_R0_6_1</v>
      </c>
      <c r="K223" s="1" t="s">
        <v>42</v>
      </c>
      <c r="L223" s="1" t="n">
        <v>0</v>
      </c>
      <c r="M223" s="1" t="s">
        <v>35</v>
      </c>
      <c r="P223" s="1" t="str">
        <f aca="false">_xlfn.CONCAT(H223:N223)</f>
        <v>d:Ge/PhaseVol_Z2.9682_0.0241_1_R0_6_1/TransY   =  0 cm</v>
      </c>
    </row>
    <row r="224" customFormat="false" ht="16.95" hidden="false" customHeight="true" outlineLevel="0" collapsed="false">
      <c r="B224" s="1"/>
      <c r="C224" s="1"/>
      <c r="D224" s="1"/>
      <c r="E224" s="1"/>
      <c r="F224" s="1"/>
      <c r="G224" s="1"/>
      <c r="H224" s="1" t="s">
        <v>33</v>
      </c>
      <c r="J224" s="1" t="str">
        <f aca="false">D200</f>
        <v>_Z2.9682_0.0241_1_R0_6_1</v>
      </c>
      <c r="K224" s="1" t="s">
        <v>43</v>
      </c>
      <c r="L224" s="1" t="n">
        <f aca="false">-1*(D202-0.5*E202+E202*(F202))</f>
        <v>-2.98025</v>
      </c>
      <c r="M224" s="1" t="s">
        <v>35</v>
      </c>
      <c r="P224" s="1" t="str">
        <f aca="false">_xlfn.CONCAT(H224:N224)</f>
        <v>d:Ge/PhaseVol_Z2.9682_0.0241_1_R0_6_1/TransZ   =  -2.98025 cm</v>
      </c>
    </row>
    <row r="225" customFormat="false" ht="16.95" hidden="false" customHeight="true" outlineLevel="0" collapsed="false">
      <c r="B225" s="1"/>
      <c r="C225" s="1"/>
      <c r="D225" s="1"/>
      <c r="E225" s="1"/>
      <c r="F225" s="1"/>
      <c r="G225" s="1"/>
      <c r="H225" s="1" t="s">
        <v>33</v>
      </c>
      <c r="J225" s="1" t="str">
        <f aca="false">D200</f>
        <v>_Z2.9682_0.0241_1_R0_6_1</v>
      </c>
      <c r="K225" s="1" t="s">
        <v>44</v>
      </c>
      <c r="L225" s="1" t="n">
        <v>0</v>
      </c>
      <c r="M225" s="1" t="s">
        <v>39</v>
      </c>
      <c r="P225" s="1" t="str">
        <f aca="false">_xlfn.CONCAT(H225:N225)</f>
        <v>d:Ge/PhaseVol_Z2.9682_0.0241_1_R0_6_1/RotX     = 0 deg</v>
      </c>
    </row>
    <row r="226" customFormat="false" ht="16.95" hidden="false" customHeight="true" outlineLevel="0" collapsed="false">
      <c r="B226" s="1"/>
      <c r="C226" s="1"/>
      <c r="D226" s="1"/>
      <c r="E226" s="1"/>
      <c r="F226" s="1"/>
      <c r="G226" s="1"/>
      <c r="H226" s="1" t="s">
        <v>33</v>
      </c>
      <c r="J226" s="1" t="str">
        <f aca="false">D200</f>
        <v>_Z2.9682_0.0241_1_R0_6_1</v>
      </c>
      <c r="K226" s="1" t="s">
        <v>45</v>
      </c>
      <c r="L226" s="1" t="n">
        <v>0</v>
      </c>
      <c r="M226" s="1" t="s">
        <v>39</v>
      </c>
      <c r="P226" s="1" t="str">
        <f aca="false">_xlfn.CONCAT(H226:N226)</f>
        <v>d:Ge/PhaseVol_Z2.9682_0.0241_1_R0_6_1/RotY     =  0 deg</v>
      </c>
    </row>
    <row r="227" customFormat="false" ht="16.95" hidden="false" customHeight="true" outlineLevel="0" collapsed="false">
      <c r="B227" s="1"/>
      <c r="C227" s="1"/>
      <c r="D227" s="1"/>
      <c r="E227" s="1"/>
      <c r="F227" s="1"/>
      <c r="G227" s="1"/>
      <c r="H227" s="1" t="s">
        <v>33</v>
      </c>
      <c r="J227" s="1" t="str">
        <f aca="false">D200</f>
        <v>_Z2.9682_0.0241_1_R0_6_1</v>
      </c>
      <c r="K227" s="1" t="s">
        <v>46</v>
      </c>
      <c r="L227" s="1" t="n">
        <v>0</v>
      </c>
      <c r="M227" s="1" t="s">
        <v>39</v>
      </c>
      <c r="P227" s="1" t="str">
        <f aca="false">_xlfn.CONCAT(H227:N227)</f>
        <v>d:Ge/PhaseVol_Z2.9682_0.0241_1_R0_6_1/RotZ     = 0 deg</v>
      </c>
    </row>
    <row r="228" customFormat="false" ht="16.95" hidden="false" customHeight="true" outlineLevel="0" collapsed="false">
      <c r="B228" s="1"/>
      <c r="C228" s="1"/>
      <c r="D228" s="1"/>
      <c r="E228" s="1"/>
      <c r="F228" s="1"/>
      <c r="G228" s="1"/>
      <c r="H228" s="1" t="s">
        <v>29</v>
      </c>
      <c r="J228" s="1" t="str">
        <f aca="false">D200</f>
        <v>_Z2.9682_0.0241_1_R0_6_1</v>
      </c>
      <c r="K228" s="1" t="s">
        <v>47</v>
      </c>
      <c r="P228" s="1" t="str">
        <f aca="false">_xlfn.CONCAT(H228:N228)</f>
        <v>s:Ge/PhaseVol_Z2.9682_0.0241_1_R0_6_1/Color    = "blue"</v>
      </c>
    </row>
    <row r="229" customFormat="false" ht="16.95" hidden="false" customHeight="true" outlineLevel="0" collapsed="false">
      <c r="B229" s="1"/>
      <c r="C229" s="1"/>
      <c r="D229" s="1"/>
      <c r="E229" s="1"/>
      <c r="F229" s="1"/>
      <c r="G229" s="1"/>
      <c r="H229" s="1" t="s">
        <v>48</v>
      </c>
      <c r="J229" s="1" t="str">
        <f aca="false">D200</f>
        <v>_Z2.9682_0.0241_1_R0_6_1</v>
      </c>
      <c r="K229" s="1" t="s">
        <v>49</v>
      </c>
      <c r="L229" s="4" t="n">
        <f aca="false">G202</f>
        <v>20</v>
      </c>
      <c r="P229" s="1" t="str">
        <f aca="false">_xlfn.CONCAT(H229:N229)</f>
        <v>i:Ge/PhaseVol_Z2.9682_0.0241_1_R0_6_1/Zbins    =  20</v>
      </c>
    </row>
    <row r="230" customFormat="false" ht="13.8" hidden="false" customHeight="false" outlineLevel="0" collapsed="false">
      <c r="H230" s="1" t="s">
        <v>48</v>
      </c>
      <c r="J230" s="1" t="str">
        <f aca="false">D200</f>
        <v>_Z2.9682_0.0241_1_R0_6_1</v>
      </c>
      <c r="K230" s="1" t="s">
        <v>50</v>
      </c>
      <c r="L230" s="4" t="n">
        <f aca="false">G203</f>
        <v>1</v>
      </c>
      <c r="P230" s="1" t="str">
        <f aca="false">_xlfn.CONCAT(H230:N230)</f>
        <v>i:Ge/PhaseVol_Z2.9682_0.0241_1_R0_6_1/Rbins    =  1</v>
      </c>
    </row>
    <row r="231" customFormat="false" ht="13.8" hidden="false" customHeight="false" outlineLevel="0" collapsed="false">
      <c r="H231" s="1" t="s">
        <v>48</v>
      </c>
      <c r="J231" s="1" t="str">
        <f aca="false">D200</f>
        <v>_Z2.9682_0.0241_1_R0_6_1</v>
      </c>
      <c r="K231" s="1" t="s">
        <v>51</v>
      </c>
      <c r="L231" s="4" t="n">
        <f aca="false">G204</f>
        <v>1</v>
      </c>
      <c r="P231" s="1" t="str">
        <f aca="false">_xlfn.CONCAT(H231:N231)</f>
        <v>i:Ge/PhaseVol_Z2.9682_0.0241_1_R0_6_1/PhiBins    =  1</v>
      </c>
    </row>
    <row r="233" customFormat="false" ht="13.8" hidden="false" customHeight="false" outlineLevel="0" collapsed="false">
      <c r="C233" s="1" t="s">
        <v>0</v>
      </c>
      <c r="D233" s="1" t="str">
        <f aca="false">(IF(D235&lt;0,"_Zm","_Z"))&amp;ABS(D235)&amp;"_"&amp;E235&amp;"_"&amp;F235&amp;"_R"&amp;D236&amp;"_"&amp;E236&amp;"_"&amp;F236</f>
        <v>_Z2.9923_0.0295_1_R0_6_1</v>
      </c>
      <c r="H233" s="1" t="s">
        <v>1</v>
      </c>
      <c r="J233" s="1" t="str">
        <f aca="false">D233</f>
        <v>_Z2.9923_0.0295_1_R0_6_1</v>
      </c>
      <c r="K233" s="1" t="s">
        <v>2</v>
      </c>
      <c r="P233" s="1" t="str">
        <f aca="false">_xlfn.CONCAT(H233:N233)</f>
        <v>s:Sc/PhaseSpAtPhaseVol_Z2.9923_0.0295_1_R0_6_1/Quantity                    = "PhaseSpace"</v>
      </c>
    </row>
    <row r="234" customFormat="false" ht="13.8" hidden="false" customHeight="false" outlineLevel="0" collapsed="false">
      <c r="B234" s="1"/>
      <c r="C234" s="1" t="s">
        <v>3</v>
      </c>
      <c r="D234" s="1" t="s">
        <v>4</v>
      </c>
      <c r="E234" s="1" t="s">
        <v>5</v>
      </c>
      <c r="F234" s="1" t="s">
        <v>6</v>
      </c>
      <c r="G234" s="1" t="s">
        <v>7</v>
      </c>
      <c r="H234" s="1" t="s">
        <v>8</v>
      </c>
      <c r="J234" s="1" t="str">
        <f aca="false">D233</f>
        <v>_Z2.9923_0.0295_1_R0_6_1</v>
      </c>
      <c r="K234" s="1" t="s">
        <v>9</v>
      </c>
      <c r="P234" s="1" t="str">
        <f aca="false">_xlfn.CONCAT(H234:N234)</f>
        <v>b:Sc/PhaseSpAtPhaseVol_Z2.9923_0.0295_1_R0_6_1/OutputToConsole             = "True"</v>
      </c>
    </row>
    <row r="235" customFormat="false" ht="13.8" hidden="false" customHeight="false" outlineLevel="0" collapsed="false">
      <c r="B235" s="1"/>
      <c r="C235" s="1" t="s">
        <v>10</v>
      </c>
      <c r="D235" s="1" t="n">
        <f aca="false">D202+E202</f>
        <v>2.9923</v>
      </c>
      <c r="E235" s="0" t="n">
        <v>0.0295</v>
      </c>
      <c r="F235" s="1" t="n">
        <v>1</v>
      </c>
      <c r="G235" s="1" t="n">
        <v>10</v>
      </c>
      <c r="H235" s="1" t="s">
        <v>1</v>
      </c>
      <c r="J235" s="1" t="str">
        <f aca="false">D233</f>
        <v>_Z2.9923_0.0295_1_R0_6_1</v>
      </c>
      <c r="K235" s="1" t="s">
        <v>11</v>
      </c>
      <c r="L235" s="1" t="str">
        <f aca="false">D233</f>
        <v>_Z2.9923_0.0295_1_R0_6_1</v>
      </c>
      <c r="M235" s="1" t="s">
        <v>12</v>
      </c>
      <c r="P235" s="1" t="str">
        <f aca="false">_xlfn.CONCAT(H235:N235)</f>
        <v>s:Sc/PhaseSpAtPhaseVol_Z2.9923_0.0295_1_R0_6_1/Surface                     = "PhaseVol_Z2.9923_0.0295_1_R0_6_1/ZMinusSurface"</v>
      </c>
    </row>
    <row r="236" customFormat="false" ht="13.8" hidden="false" customHeight="false" outlineLevel="0" collapsed="false">
      <c r="B236" s="1"/>
      <c r="C236" s="1" t="s">
        <v>13</v>
      </c>
      <c r="D236" s="1" t="n">
        <v>0</v>
      </c>
      <c r="E236" s="1" t="n">
        <f aca="false">E203</f>
        <v>6</v>
      </c>
      <c r="F236" s="1" t="n">
        <v>1</v>
      </c>
      <c r="G236" s="1" t="n">
        <v>1</v>
      </c>
      <c r="H236" s="1" t="s">
        <v>1</v>
      </c>
      <c r="J236" s="1" t="str">
        <f aca="false">D233</f>
        <v>_Z2.9923_0.0295_1_R0_6_1</v>
      </c>
      <c r="K236" s="1" t="s">
        <v>14</v>
      </c>
      <c r="P236" s="1" t="str">
        <f aca="false">_xlfn.CONCAT(H236:N236)</f>
        <v>s:Sc/PhaseSpAtPhaseVol_Z2.9923_0.0295_1_R0_6_1/OutputType                  = "ASCII" # ASCII or Binary</v>
      </c>
    </row>
    <row r="237" customFormat="false" ht="13.8" hidden="false" customHeight="false" outlineLevel="0" collapsed="false">
      <c r="B237" s="1"/>
      <c r="C237" s="1" t="s">
        <v>15</v>
      </c>
      <c r="D237" s="1"/>
      <c r="E237" s="1"/>
      <c r="F237" s="1"/>
      <c r="G237" s="1" t="n">
        <v>1</v>
      </c>
      <c r="H237" s="1" t="s">
        <v>1</v>
      </c>
      <c r="J237" s="1" t="str">
        <f aca="false">D233</f>
        <v>_Z2.9923_0.0295_1_R0_6_1</v>
      </c>
      <c r="K237" s="1" t="s">
        <v>16</v>
      </c>
      <c r="L237" s="1" t="str">
        <f aca="false">D233</f>
        <v>_Z2.9923_0.0295_1_R0_6_1</v>
      </c>
      <c r="M237" s="1" t="s">
        <v>17</v>
      </c>
      <c r="P237" s="1" t="str">
        <f aca="false">_xlfn.CONCAT(H237:N237)</f>
        <v>s:Sc/PhaseSpAtPhaseVol_Z2.9923_0.0295_1_R0_6_1/OutputFile                  = "PhaseSpASCII_Z2.9923_0.0295_1_R0_6_1"</v>
      </c>
    </row>
    <row r="238" customFormat="false" ht="13.8" hidden="false" customHeight="false" outlineLevel="0" collapsed="false">
      <c r="B238" s="1"/>
      <c r="C238" s="1"/>
      <c r="D238" s="1"/>
      <c r="E238" s="1"/>
      <c r="F238" s="1"/>
      <c r="G238" s="1"/>
      <c r="H238" s="1" t="s">
        <v>18</v>
      </c>
      <c r="J238" s="1" t="str">
        <f aca="false">D233</f>
        <v>_Z2.9923_0.0295_1_R0_6_1</v>
      </c>
      <c r="K238" s="1" t="s">
        <v>19</v>
      </c>
      <c r="P238" s="1" t="str">
        <f aca="false">_xlfn.CONCAT(H238:N238)</f>
        <v>i:Sc/PhaseSpAtPhaseVol_Z2.9923_0.0295_1_R0_6_1/OutputBufferSize            = 1000</v>
      </c>
    </row>
    <row r="239" customFormat="false" ht="13.8" hidden="false" customHeight="false" outlineLevel="0" collapsed="false">
      <c r="B239" s="1"/>
      <c r="C239" s="1"/>
      <c r="D239" s="1"/>
      <c r="E239" s="1"/>
      <c r="F239" s="1"/>
      <c r="G239" s="1"/>
      <c r="H239" s="1" t="s">
        <v>20</v>
      </c>
      <c r="J239" s="1" t="str">
        <f aca="false">D233</f>
        <v>_Z2.9923_0.0295_1_R0_6_1</v>
      </c>
      <c r="K239" s="1" t="s">
        <v>21</v>
      </c>
      <c r="P239" s="1" t="str">
        <f aca="false">_xlfn.CONCAT(H239:N239)</f>
        <v># s:Sc/PhaseSpAtPhaseVol_Z2.9923_0.0295_1_R0_6_1/OnlyIncludeParticlesGoing  = "In"</v>
      </c>
    </row>
    <row r="240" customFormat="false" ht="13.8" hidden="false" customHeight="false" outlineLevel="0" collapsed="false">
      <c r="B240" s="1"/>
      <c r="C240" s="1"/>
      <c r="D240" s="1"/>
      <c r="E240" s="1"/>
      <c r="F240" s="1"/>
      <c r="G240" s="1"/>
      <c r="H240" s="1" t="s">
        <v>8</v>
      </c>
      <c r="J240" s="1" t="str">
        <f aca="false">D233</f>
        <v>_Z2.9923_0.0295_1_R0_6_1</v>
      </c>
      <c r="K240" s="1" t="s">
        <v>22</v>
      </c>
      <c r="P240" s="1" t="str">
        <f aca="false">_xlfn.CONCAT(H240:N240)</f>
        <v>b:Sc/PhaseSpAtPhaseVol_Z2.9923_0.0295_1_R0_6_1/IncludeRunID                = "True"</v>
      </c>
    </row>
    <row r="241" customFormat="false" ht="13.8" hidden="false" customHeight="false" outlineLevel="0" collapsed="false">
      <c r="B241" s="1"/>
      <c r="C241" s="1"/>
      <c r="D241" s="1"/>
      <c r="E241" s="1"/>
      <c r="F241" s="1"/>
      <c r="G241" s="1"/>
      <c r="H241" s="1" t="s">
        <v>8</v>
      </c>
      <c r="J241" s="1" t="str">
        <f aca="false">D233</f>
        <v>_Z2.9923_0.0295_1_R0_6_1</v>
      </c>
      <c r="K241" s="1" t="s">
        <v>23</v>
      </c>
      <c r="P241" s="1" t="str">
        <f aca="false">_xlfn.CONCAT(H241:N241)</f>
        <v>b:Sc/PhaseSpAtPhaseVol_Z2.9923_0.0295_1_R0_6_1/IncludeEventID              = "True"</v>
      </c>
    </row>
    <row r="242" customFormat="false" ht="13.8" hidden="false" customHeight="false" outlineLevel="0" collapsed="false">
      <c r="B242" s="1"/>
      <c r="C242" s="1"/>
      <c r="D242" s="1"/>
      <c r="E242" s="1"/>
      <c r="F242" s="1"/>
      <c r="G242" s="1"/>
      <c r="H242" s="1" t="s">
        <v>8</v>
      </c>
      <c r="J242" s="1" t="str">
        <f aca="false">D233</f>
        <v>_Z2.9923_0.0295_1_R0_6_1</v>
      </c>
      <c r="K242" s="1" t="s">
        <v>24</v>
      </c>
      <c r="P242" s="1" t="str">
        <f aca="false">_xlfn.CONCAT(H242:N242)</f>
        <v>b:Sc/PhaseSpAtPhaseVol_Z2.9923_0.0295_1_R0_6_1/IncludeTrackID              = "True"</v>
      </c>
    </row>
    <row r="243" customFormat="false" ht="13.8" hidden="false" customHeight="false" outlineLevel="0" collapsed="false">
      <c r="B243" s="1"/>
      <c r="C243" s="1"/>
      <c r="D243" s="1"/>
      <c r="E243" s="1"/>
      <c r="F243" s="1"/>
      <c r="G243" s="1"/>
      <c r="H243" s="1" t="s">
        <v>8</v>
      </c>
      <c r="J243" s="1" t="str">
        <f aca="false">D233</f>
        <v>_Z2.9923_0.0295_1_R0_6_1</v>
      </c>
      <c r="K243" s="1" t="s">
        <v>25</v>
      </c>
      <c r="P243" s="1" t="str">
        <f aca="false">_xlfn.CONCAT(H243:N243)</f>
        <v>b:Sc/PhaseSpAtPhaseVol_Z2.9923_0.0295_1_R0_6_1/IncludeTime                 = "True"</v>
      </c>
    </row>
    <row r="244" customFormat="false" ht="13.8" hidden="false" customHeight="false" outlineLevel="0" collapsed="false">
      <c r="B244" s="1"/>
      <c r="C244" s="1"/>
      <c r="D244" s="1"/>
      <c r="E244" s="1"/>
      <c r="F244" s="1"/>
      <c r="G244" s="1"/>
      <c r="H244" s="1" t="s">
        <v>8</v>
      </c>
      <c r="J244" s="1" t="str">
        <f aca="false">D233</f>
        <v>_Z2.9923_0.0295_1_R0_6_1</v>
      </c>
      <c r="K244" s="1" t="s">
        <v>26</v>
      </c>
      <c r="P244" s="1" t="str">
        <f aca="false">_xlfn.CONCAT(H244:N244)</f>
        <v>b:Sc/PhaseSpAtPhaseVol_Z2.9923_0.0295_1_R0_6_1/IncludeSeed                 = "True"</v>
      </c>
    </row>
    <row r="245" customFormat="false" ht="13.8" hidden="false" customHeight="false" outlineLevel="0" collapsed="false">
      <c r="B245" s="1"/>
      <c r="C245" s="1"/>
      <c r="D245" s="1"/>
      <c r="E245" s="1"/>
      <c r="F245" s="1"/>
      <c r="G245" s="1"/>
      <c r="H245" s="1" t="s">
        <v>1</v>
      </c>
      <c r="J245" s="1" t="str">
        <f aca="false">D233</f>
        <v>_Z2.9923_0.0295_1_R0_6_1</v>
      </c>
      <c r="K245" s="1" t="s">
        <v>27</v>
      </c>
      <c r="P245" s="1" t="str">
        <f aca="false">_xlfn.CONCAT(H245:N245)</f>
        <v>s:Sc/PhaseSpAtPhaseVol_Z2.9923_0.0295_1_R0_6_1/IfOutputFileAlreadyExists   = "Overwrite" # Exit, Overwrite or Increment</v>
      </c>
    </row>
    <row r="246" customFormat="false" ht="13.8" hidden="false" customHeight="false" outlineLevel="0" collapsed="false">
      <c r="B246" s="1"/>
      <c r="C246" s="1"/>
      <c r="D246" s="1"/>
      <c r="E246" s="1"/>
      <c r="F246" s="1"/>
      <c r="G246" s="1"/>
      <c r="H246" s="1" t="s">
        <v>8</v>
      </c>
      <c r="J246" s="1" t="str">
        <f aca="false">D233</f>
        <v>_Z2.9923_0.0295_1_R0_6_1</v>
      </c>
      <c r="K246" s="1" t="s">
        <v>28</v>
      </c>
      <c r="P246" s="1" t="str">
        <f aca="false">_xlfn.CONCAT(H246:N246)</f>
        <v>b:Sc/PhaseSpAtPhaseVol_Z2.9923_0.0295_1_R0_6_1/OutputAfterRun              = "True"</v>
      </c>
    </row>
    <row r="247" customFormat="false" ht="13.8" hidden="false" customHeight="false" outlineLevel="0" collapsed="false">
      <c r="B247" s="1"/>
      <c r="C247" s="1"/>
      <c r="D247" s="1"/>
      <c r="E247" s="1"/>
      <c r="F247" s="1"/>
      <c r="G247" s="1"/>
      <c r="H247" s="1" t="s">
        <v>29</v>
      </c>
      <c r="J247" s="1" t="str">
        <f aca="false">D233</f>
        <v>_Z2.9923_0.0295_1_R0_6_1</v>
      </c>
      <c r="K247" s="1" t="s">
        <v>30</v>
      </c>
      <c r="P247" s="1" t="str">
        <f aca="false">_xlfn.CONCAT(H247:N247)</f>
        <v>s:Ge/PhaseVol_Z2.9923_0.0295_1_R0_6_1/Parent     = "World"</v>
      </c>
    </row>
    <row r="248" customFormat="false" ht="13.8" hidden="false" customHeight="false" outlineLevel="0" collapsed="false">
      <c r="B248" s="1"/>
      <c r="C248" s="1"/>
      <c r="D248" s="1"/>
      <c r="E248" s="1"/>
      <c r="F248" s="1"/>
      <c r="G248" s="1"/>
      <c r="H248" s="1" t="s">
        <v>29</v>
      </c>
      <c r="J248" s="1" t="str">
        <f aca="false">D233</f>
        <v>_Z2.9923_0.0295_1_R0_6_1</v>
      </c>
      <c r="K248" s="1" t="s">
        <v>31</v>
      </c>
      <c r="P248" s="1" t="str">
        <f aca="false">_xlfn.CONCAT(H248:N248)</f>
        <v>s:Ge/PhaseVol_Z2.9923_0.0295_1_R0_6_1/Type       =  "TsCylinder"</v>
      </c>
    </row>
    <row r="249" customFormat="false" ht="13.8" hidden="false" customHeight="false" outlineLevel="0" collapsed="false">
      <c r="B249" s="1"/>
      <c r="C249" s="1"/>
      <c r="D249" s="1"/>
      <c r="E249" s="1"/>
      <c r="F249" s="1"/>
      <c r="G249" s="1"/>
      <c r="H249" s="1" t="s">
        <v>29</v>
      </c>
      <c r="J249" s="1" t="str">
        <f aca="false">D233</f>
        <v>_Z2.9923_0.0295_1_R0_6_1</v>
      </c>
      <c r="K249" s="1" t="s">
        <v>32</v>
      </c>
      <c r="P249" s="1" t="str">
        <f aca="false">_xlfn.CONCAT(H249:N249)</f>
        <v>s:Ge/PhaseVol_Z2.9923_0.0295_1_R0_6_1/Material   = "G4_WATER"</v>
      </c>
    </row>
    <row r="250" customFormat="false" ht="13.8" hidden="false" customHeight="false" outlineLevel="0" collapsed="false">
      <c r="B250" s="1"/>
      <c r="C250" s="1"/>
      <c r="D250" s="1"/>
      <c r="E250" s="1"/>
      <c r="F250" s="1"/>
      <c r="G250" s="1"/>
      <c r="H250" s="1" t="s">
        <v>33</v>
      </c>
      <c r="J250" s="1" t="str">
        <f aca="false">D233</f>
        <v>_Z2.9923_0.0295_1_R0_6_1</v>
      </c>
      <c r="K250" s="1" t="s">
        <v>34</v>
      </c>
      <c r="L250" s="1" t="n">
        <f aca="false">D236+E236*(F236 -1)</f>
        <v>0</v>
      </c>
      <c r="M250" s="1" t="s">
        <v>35</v>
      </c>
      <c r="P250" s="1" t="str">
        <f aca="false">_xlfn.CONCAT(H250:N250)</f>
        <v>d:Ge/PhaseVol_Z2.9923_0.0295_1_R0_6_1/Rmin =  0 cm</v>
      </c>
    </row>
    <row r="251" customFormat="false" ht="13.8" hidden="false" customHeight="false" outlineLevel="0" collapsed="false">
      <c r="B251" s="1"/>
      <c r="C251" s="1"/>
      <c r="D251" s="1"/>
      <c r="E251" s="1"/>
      <c r="F251" s="1"/>
      <c r="G251" s="1"/>
      <c r="H251" s="1" t="s">
        <v>33</v>
      </c>
      <c r="J251" s="1" t="str">
        <f aca="false">D233</f>
        <v>_Z2.9923_0.0295_1_R0_6_1</v>
      </c>
      <c r="K251" s="1" t="s">
        <v>36</v>
      </c>
      <c r="L251" s="2" t="n">
        <f aca="false">D236+E236*(F236 )</f>
        <v>6</v>
      </c>
      <c r="M251" s="1" t="s">
        <v>35</v>
      </c>
      <c r="P251" s="1" t="str">
        <f aca="false">_xlfn.CONCAT(H251:N251)</f>
        <v>d:Ge/PhaseVol_Z2.9923_0.0295_1_R0_6_1/Rmax = 6 cm</v>
      </c>
    </row>
    <row r="252" customFormat="false" ht="13.8" hidden="false" customHeight="false" outlineLevel="0" collapsed="false">
      <c r="B252" s="1"/>
      <c r="C252" s="1"/>
      <c r="D252" s="1"/>
      <c r="E252" s="1"/>
      <c r="F252" s="1"/>
      <c r="G252" s="1"/>
      <c r="H252" s="1" t="s">
        <v>33</v>
      </c>
      <c r="J252" s="1" t="str">
        <f aca="false">D233</f>
        <v>_Z2.9923_0.0295_1_R0_6_1</v>
      </c>
      <c r="K252" s="1" t="s">
        <v>37</v>
      </c>
      <c r="L252" s="1" t="n">
        <f aca="false">0.5*E235</f>
        <v>0.01475</v>
      </c>
      <c r="M252" s="1" t="s">
        <v>35</v>
      </c>
      <c r="P252" s="1" t="str">
        <f aca="false">_xlfn.CONCAT(H252:N252)</f>
        <v>d:Ge/PhaseVol_Z2.9923_0.0295_1_R0_6_1/HL = 0.01475 cm</v>
      </c>
    </row>
    <row r="253" customFormat="false" ht="16.95" hidden="false" customHeight="true" outlineLevel="0" collapsed="false">
      <c r="B253" s="1"/>
      <c r="C253" s="1"/>
      <c r="D253" s="1"/>
      <c r="E253" s="1"/>
      <c r="F253" s="1"/>
      <c r="G253" s="1"/>
      <c r="H253" s="1" t="s">
        <v>33</v>
      </c>
      <c r="J253" s="1" t="str">
        <f aca="false">D233</f>
        <v>_Z2.9923_0.0295_1_R0_6_1</v>
      </c>
      <c r="K253" s="3" t="s">
        <v>38</v>
      </c>
      <c r="L253" s="1" t="n">
        <v>0</v>
      </c>
      <c r="M253" s="1" t="s">
        <v>39</v>
      </c>
      <c r="P253" s="1" t="str">
        <f aca="false">_xlfn.CONCAT(H253:N253)</f>
        <v>d:Ge/PhaseVol_Z2.9923_0.0295_1_R0_6_1/Sphi     = 0 deg</v>
      </c>
    </row>
    <row r="254" customFormat="false" ht="16.95" hidden="false" customHeight="true" outlineLevel="0" collapsed="false">
      <c r="B254" s="1"/>
      <c r="C254" s="1"/>
      <c r="E254" s="1"/>
      <c r="F254" s="1"/>
      <c r="G254" s="1"/>
      <c r="H254" s="1" t="s">
        <v>33</v>
      </c>
      <c r="I254" s="1"/>
      <c r="J254" s="1" t="str">
        <f aca="false">D233</f>
        <v>_Z2.9923_0.0295_1_R0_6_1</v>
      </c>
      <c r="K254" s="1" t="s">
        <v>40</v>
      </c>
      <c r="L254" s="1" t="n">
        <v>360</v>
      </c>
      <c r="M254" s="1" t="s">
        <v>39</v>
      </c>
      <c r="P254" s="1" t="str">
        <f aca="false">_xlfn.CONCAT(H254:N254)</f>
        <v>d:Ge/PhaseVol_Z2.9923_0.0295_1_R0_6_1/Dphi     = 360 deg</v>
      </c>
    </row>
    <row r="255" customFormat="false" ht="16.95" hidden="false" customHeight="true" outlineLevel="0" collapsed="false">
      <c r="B255" s="1"/>
      <c r="C255" s="1"/>
      <c r="E255" s="1"/>
      <c r="F255" s="1"/>
      <c r="G255" s="1"/>
      <c r="H255" s="1" t="s">
        <v>33</v>
      </c>
      <c r="J255" s="1" t="str">
        <f aca="false">D233</f>
        <v>_Z2.9923_0.0295_1_R0_6_1</v>
      </c>
      <c r="K255" s="1" t="s">
        <v>41</v>
      </c>
      <c r="L255" s="1" t="n">
        <v>0</v>
      </c>
      <c r="M255" s="1" t="s">
        <v>35</v>
      </c>
      <c r="P255" s="1" t="str">
        <f aca="false">_xlfn.CONCAT(H255:N255)</f>
        <v>d:Ge/PhaseVol_Z2.9923_0.0295_1_R0_6_1/TransX   =  0 cm</v>
      </c>
    </row>
    <row r="256" customFormat="false" ht="16.95" hidden="false" customHeight="true" outlineLevel="0" collapsed="false">
      <c r="B256" s="1"/>
      <c r="C256" s="1"/>
      <c r="E256" s="1"/>
      <c r="F256" s="1"/>
      <c r="G256" s="1"/>
      <c r="H256" s="1" t="s">
        <v>33</v>
      </c>
      <c r="J256" s="1" t="str">
        <f aca="false">D233</f>
        <v>_Z2.9923_0.0295_1_R0_6_1</v>
      </c>
      <c r="K256" s="1" t="s">
        <v>42</v>
      </c>
      <c r="L256" s="1" t="n">
        <v>0</v>
      </c>
      <c r="M256" s="1" t="s">
        <v>35</v>
      </c>
      <c r="P256" s="1" t="str">
        <f aca="false">_xlfn.CONCAT(H256:N256)</f>
        <v>d:Ge/PhaseVol_Z2.9923_0.0295_1_R0_6_1/TransY   =  0 cm</v>
      </c>
    </row>
    <row r="257" customFormat="false" ht="16.95" hidden="false" customHeight="true" outlineLevel="0" collapsed="false">
      <c r="B257" s="1"/>
      <c r="C257" s="1"/>
      <c r="D257" s="1"/>
      <c r="E257" s="1"/>
      <c r="F257" s="1"/>
      <c r="G257" s="1"/>
      <c r="H257" s="1" t="s">
        <v>33</v>
      </c>
      <c r="J257" s="1" t="str">
        <f aca="false">D233</f>
        <v>_Z2.9923_0.0295_1_R0_6_1</v>
      </c>
      <c r="K257" s="1" t="s">
        <v>43</v>
      </c>
      <c r="L257" s="1" t="n">
        <f aca="false">-1*(D235-0.5*E235+E235*(F235))</f>
        <v>-3.00705</v>
      </c>
      <c r="M257" s="1" t="s">
        <v>35</v>
      </c>
      <c r="P257" s="1" t="str">
        <f aca="false">_xlfn.CONCAT(H257:N257)</f>
        <v>d:Ge/PhaseVol_Z2.9923_0.0295_1_R0_6_1/TransZ   =  -3.00705 cm</v>
      </c>
    </row>
    <row r="258" customFormat="false" ht="16.95" hidden="false" customHeight="true" outlineLevel="0" collapsed="false">
      <c r="B258" s="1"/>
      <c r="C258" s="1"/>
      <c r="D258" s="1"/>
      <c r="E258" s="1"/>
      <c r="F258" s="1"/>
      <c r="G258" s="1"/>
      <c r="H258" s="1" t="s">
        <v>33</v>
      </c>
      <c r="J258" s="1" t="str">
        <f aca="false">D233</f>
        <v>_Z2.9923_0.0295_1_R0_6_1</v>
      </c>
      <c r="K258" s="1" t="s">
        <v>44</v>
      </c>
      <c r="L258" s="1" t="n">
        <v>0</v>
      </c>
      <c r="M258" s="1" t="s">
        <v>39</v>
      </c>
      <c r="P258" s="1" t="str">
        <f aca="false">_xlfn.CONCAT(H258:N258)</f>
        <v>d:Ge/PhaseVol_Z2.9923_0.0295_1_R0_6_1/RotX     = 0 deg</v>
      </c>
    </row>
    <row r="259" customFormat="false" ht="16.95" hidden="false" customHeight="true" outlineLevel="0" collapsed="false">
      <c r="B259" s="1"/>
      <c r="C259" s="1"/>
      <c r="D259" s="1"/>
      <c r="E259" s="1"/>
      <c r="F259" s="1"/>
      <c r="G259" s="1"/>
      <c r="H259" s="1" t="s">
        <v>33</v>
      </c>
      <c r="J259" s="1" t="str">
        <f aca="false">D233</f>
        <v>_Z2.9923_0.0295_1_R0_6_1</v>
      </c>
      <c r="K259" s="1" t="s">
        <v>45</v>
      </c>
      <c r="L259" s="1" t="n">
        <v>0</v>
      </c>
      <c r="M259" s="1" t="s">
        <v>39</v>
      </c>
      <c r="P259" s="1" t="str">
        <f aca="false">_xlfn.CONCAT(H259:N259)</f>
        <v>d:Ge/PhaseVol_Z2.9923_0.0295_1_R0_6_1/RotY     =  0 deg</v>
      </c>
    </row>
    <row r="260" customFormat="false" ht="16.95" hidden="false" customHeight="true" outlineLevel="0" collapsed="false">
      <c r="B260" s="1"/>
      <c r="C260" s="1"/>
      <c r="D260" s="1"/>
      <c r="E260" s="1"/>
      <c r="F260" s="1"/>
      <c r="G260" s="1"/>
      <c r="H260" s="1" t="s">
        <v>33</v>
      </c>
      <c r="J260" s="1" t="str">
        <f aca="false">D233</f>
        <v>_Z2.9923_0.0295_1_R0_6_1</v>
      </c>
      <c r="K260" s="1" t="s">
        <v>46</v>
      </c>
      <c r="L260" s="1" t="n">
        <v>0</v>
      </c>
      <c r="M260" s="1" t="s">
        <v>39</v>
      </c>
      <c r="P260" s="1" t="str">
        <f aca="false">_xlfn.CONCAT(H260:N260)</f>
        <v>d:Ge/PhaseVol_Z2.9923_0.0295_1_R0_6_1/RotZ     = 0 deg</v>
      </c>
    </row>
    <row r="261" customFormat="false" ht="16.95" hidden="false" customHeight="true" outlineLevel="0" collapsed="false">
      <c r="B261" s="1"/>
      <c r="C261" s="1"/>
      <c r="D261" s="1"/>
      <c r="E261" s="1"/>
      <c r="F261" s="1"/>
      <c r="G261" s="1"/>
      <c r="H261" s="1" t="s">
        <v>29</v>
      </c>
      <c r="J261" s="1" t="str">
        <f aca="false">D233</f>
        <v>_Z2.9923_0.0295_1_R0_6_1</v>
      </c>
      <c r="K261" s="1" t="s">
        <v>47</v>
      </c>
      <c r="P261" s="1" t="str">
        <f aca="false">_xlfn.CONCAT(H261:N261)</f>
        <v>s:Ge/PhaseVol_Z2.9923_0.0295_1_R0_6_1/Color    = "blue"</v>
      </c>
    </row>
    <row r="262" customFormat="false" ht="16.95" hidden="false" customHeight="true" outlineLevel="0" collapsed="false">
      <c r="B262" s="1"/>
      <c r="C262" s="1"/>
      <c r="D262" s="1"/>
      <c r="E262" s="1"/>
      <c r="F262" s="1"/>
      <c r="G262" s="1"/>
      <c r="H262" s="1" t="s">
        <v>48</v>
      </c>
      <c r="J262" s="1" t="str">
        <f aca="false">D233</f>
        <v>_Z2.9923_0.0295_1_R0_6_1</v>
      </c>
      <c r="K262" s="1" t="s">
        <v>49</v>
      </c>
      <c r="L262" s="4" t="n">
        <f aca="false">G235</f>
        <v>10</v>
      </c>
      <c r="P262" s="1" t="str">
        <f aca="false">_xlfn.CONCAT(H262:N262)</f>
        <v>i:Ge/PhaseVol_Z2.9923_0.0295_1_R0_6_1/Zbins    =  10</v>
      </c>
    </row>
    <row r="263" customFormat="false" ht="13.8" hidden="false" customHeight="false" outlineLevel="0" collapsed="false">
      <c r="H263" s="1" t="s">
        <v>48</v>
      </c>
      <c r="J263" s="1" t="str">
        <f aca="false">D233</f>
        <v>_Z2.9923_0.0295_1_R0_6_1</v>
      </c>
      <c r="K263" s="1" t="s">
        <v>50</v>
      </c>
      <c r="L263" s="4" t="n">
        <f aca="false">G236</f>
        <v>1</v>
      </c>
      <c r="P263" s="1" t="str">
        <f aca="false">_xlfn.CONCAT(H263:N263)</f>
        <v>i:Ge/PhaseVol_Z2.9923_0.0295_1_R0_6_1/Rbins    =  1</v>
      </c>
    </row>
    <row r="264" customFormat="false" ht="13.8" hidden="false" customHeight="false" outlineLevel="0" collapsed="false">
      <c r="H264" s="1" t="s">
        <v>48</v>
      </c>
      <c r="J264" s="1" t="str">
        <f aca="false">D233</f>
        <v>_Z2.9923_0.0295_1_R0_6_1</v>
      </c>
      <c r="K264" s="1" t="s">
        <v>51</v>
      </c>
      <c r="L264" s="4" t="n">
        <f aca="false">G237</f>
        <v>1</v>
      </c>
      <c r="P264" s="1" t="str">
        <f aca="false">_xlfn.CONCAT(H264:N264)</f>
        <v>i:Ge/PhaseVol_Z2.9923_0.0295_1_R0_6_1/PhiBins    =  1</v>
      </c>
    </row>
    <row r="266" customFormat="false" ht="13.8" hidden="false" customHeight="false" outlineLevel="0" collapsed="false">
      <c r="C266" s="1" t="s">
        <v>0</v>
      </c>
      <c r="D266" s="1" t="str">
        <f aca="false">(IF(D268&lt;0,"_Zm","_Z"))&amp;ABS(D268)&amp;"_"&amp;E268&amp;"_"&amp;F268&amp;"_R"&amp;D269&amp;"_"&amp;E269&amp;"_"&amp;F269</f>
        <v>_Z3.0218_0.1125_1_R0_6_1</v>
      </c>
      <c r="H266" s="1" t="s">
        <v>1</v>
      </c>
      <c r="J266" s="1" t="str">
        <f aca="false">D266</f>
        <v>_Z3.0218_0.1125_1_R0_6_1</v>
      </c>
      <c r="K266" s="1" t="s">
        <v>2</v>
      </c>
      <c r="P266" s="1" t="str">
        <f aca="false">_xlfn.CONCAT(H266:N266)</f>
        <v>s:Sc/PhaseSpAtPhaseVol_Z3.0218_0.1125_1_R0_6_1/Quantity                    = "PhaseSpace"</v>
      </c>
    </row>
    <row r="267" customFormat="false" ht="13.8" hidden="false" customHeight="false" outlineLevel="0" collapsed="false">
      <c r="B267" s="1"/>
      <c r="C267" s="1" t="s">
        <v>3</v>
      </c>
      <c r="D267" s="1" t="s">
        <v>4</v>
      </c>
      <c r="E267" s="1" t="s">
        <v>5</v>
      </c>
      <c r="F267" s="1" t="s">
        <v>6</v>
      </c>
      <c r="G267" s="1" t="s">
        <v>7</v>
      </c>
      <c r="H267" s="1" t="s">
        <v>8</v>
      </c>
      <c r="J267" s="1" t="str">
        <f aca="false">D266</f>
        <v>_Z3.0218_0.1125_1_R0_6_1</v>
      </c>
      <c r="K267" s="1" t="s">
        <v>9</v>
      </c>
      <c r="P267" s="1" t="str">
        <f aca="false">_xlfn.CONCAT(H267:N267)</f>
        <v>b:Sc/PhaseSpAtPhaseVol_Z3.0218_0.1125_1_R0_6_1/OutputToConsole             = "True"</v>
      </c>
    </row>
    <row r="268" customFormat="false" ht="13.8" hidden="false" customHeight="false" outlineLevel="0" collapsed="false">
      <c r="B268" s="1"/>
      <c r="C268" s="1" t="s">
        <v>10</v>
      </c>
      <c r="D268" s="1" t="n">
        <f aca="false">D235+E235</f>
        <v>3.0218</v>
      </c>
      <c r="E268" s="0" t="n">
        <v>0.1125</v>
      </c>
      <c r="F268" s="1" t="n">
        <v>1</v>
      </c>
      <c r="G268" s="1" t="n">
        <v>20</v>
      </c>
      <c r="H268" s="1" t="s">
        <v>1</v>
      </c>
      <c r="J268" s="1" t="str">
        <f aca="false">D266</f>
        <v>_Z3.0218_0.1125_1_R0_6_1</v>
      </c>
      <c r="K268" s="1" t="s">
        <v>11</v>
      </c>
      <c r="L268" s="1" t="str">
        <f aca="false">D266</f>
        <v>_Z3.0218_0.1125_1_R0_6_1</v>
      </c>
      <c r="M268" s="1" t="s">
        <v>12</v>
      </c>
      <c r="P268" s="1" t="str">
        <f aca="false">_xlfn.CONCAT(H268:N268)</f>
        <v>s:Sc/PhaseSpAtPhaseVol_Z3.0218_0.1125_1_R0_6_1/Surface                     = "PhaseVol_Z3.0218_0.1125_1_R0_6_1/ZMinusSurface"</v>
      </c>
    </row>
    <row r="269" customFormat="false" ht="13.8" hidden="false" customHeight="false" outlineLevel="0" collapsed="false">
      <c r="B269" s="1"/>
      <c r="C269" s="1" t="s">
        <v>13</v>
      </c>
      <c r="D269" s="1" t="n">
        <v>0</v>
      </c>
      <c r="E269" s="1" t="n">
        <f aca="false">E236</f>
        <v>6</v>
      </c>
      <c r="F269" s="1" t="n">
        <v>1</v>
      </c>
      <c r="G269" s="1" t="n">
        <v>1</v>
      </c>
      <c r="H269" s="1" t="s">
        <v>1</v>
      </c>
      <c r="J269" s="1" t="str">
        <f aca="false">D266</f>
        <v>_Z3.0218_0.1125_1_R0_6_1</v>
      </c>
      <c r="K269" s="1" t="s">
        <v>14</v>
      </c>
      <c r="P269" s="1" t="str">
        <f aca="false">_xlfn.CONCAT(H269:N269)</f>
        <v>s:Sc/PhaseSpAtPhaseVol_Z3.0218_0.1125_1_R0_6_1/OutputType                  = "ASCII" # ASCII or Binary</v>
      </c>
    </row>
    <row r="270" customFormat="false" ht="13.8" hidden="false" customHeight="false" outlineLevel="0" collapsed="false">
      <c r="B270" s="1"/>
      <c r="C270" s="1" t="s">
        <v>15</v>
      </c>
      <c r="D270" s="1"/>
      <c r="E270" s="1"/>
      <c r="F270" s="1"/>
      <c r="G270" s="1" t="n">
        <v>1</v>
      </c>
      <c r="H270" s="1" t="s">
        <v>1</v>
      </c>
      <c r="J270" s="1" t="str">
        <f aca="false">D266</f>
        <v>_Z3.0218_0.1125_1_R0_6_1</v>
      </c>
      <c r="K270" s="1" t="s">
        <v>16</v>
      </c>
      <c r="L270" s="1" t="str">
        <f aca="false">D266</f>
        <v>_Z3.0218_0.1125_1_R0_6_1</v>
      </c>
      <c r="M270" s="1" t="s">
        <v>17</v>
      </c>
      <c r="P270" s="1" t="str">
        <f aca="false">_xlfn.CONCAT(H270:N270)</f>
        <v>s:Sc/PhaseSpAtPhaseVol_Z3.0218_0.1125_1_R0_6_1/OutputFile                  = "PhaseSpASCII_Z3.0218_0.1125_1_R0_6_1"</v>
      </c>
    </row>
    <row r="271" customFormat="false" ht="13.8" hidden="false" customHeight="false" outlineLevel="0" collapsed="false">
      <c r="B271" s="1"/>
      <c r="C271" s="1"/>
      <c r="D271" s="1"/>
      <c r="E271" s="1"/>
      <c r="F271" s="1"/>
      <c r="G271" s="1"/>
      <c r="H271" s="1" t="s">
        <v>18</v>
      </c>
      <c r="J271" s="1" t="str">
        <f aca="false">D266</f>
        <v>_Z3.0218_0.1125_1_R0_6_1</v>
      </c>
      <c r="K271" s="1" t="s">
        <v>19</v>
      </c>
      <c r="P271" s="1" t="str">
        <f aca="false">_xlfn.CONCAT(H271:N271)</f>
        <v>i:Sc/PhaseSpAtPhaseVol_Z3.0218_0.1125_1_R0_6_1/OutputBufferSize            = 1000</v>
      </c>
    </row>
    <row r="272" customFormat="false" ht="13.8" hidden="false" customHeight="false" outlineLevel="0" collapsed="false">
      <c r="B272" s="1"/>
      <c r="C272" s="1"/>
      <c r="D272" s="1"/>
      <c r="E272" s="1"/>
      <c r="F272" s="1"/>
      <c r="G272" s="1"/>
      <c r="H272" s="1" t="s">
        <v>20</v>
      </c>
      <c r="J272" s="1" t="str">
        <f aca="false">D266</f>
        <v>_Z3.0218_0.1125_1_R0_6_1</v>
      </c>
      <c r="K272" s="1" t="s">
        <v>21</v>
      </c>
      <c r="P272" s="1" t="str">
        <f aca="false">_xlfn.CONCAT(H272:N272)</f>
        <v># s:Sc/PhaseSpAtPhaseVol_Z3.0218_0.1125_1_R0_6_1/OnlyIncludeParticlesGoing  = "In"</v>
      </c>
    </row>
    <row r="273" customFormat="false" ht="13.8" hidden="false" customHeight="false" outlineLevel="0" collapsed="false">
      <c r="B273" s="1"/>
      <c r="C273" s="1"/>
      <c r="D273" s="1"/>
      <c r="E273" s="1"/>
      <c r="F273" s="1"/>
      <c r="G273" s="1"/>
      <c r="H273" s="1" t="s">
        <v>8</v>
      </c>
      <c r="J273" s="1" t="str">
        <f aca="false">D266</f>
        <v>_Z3.0218_0.1125_1_R0_6_1</v>
      </c>
      <c r="K273" s="1" t="s">
        <v>22</v>
      </c>
      <c r="P273" s="1" t="str">
        <f aca="false">_xlfn.CONCAT(H273:N273)</f>
        <v>b:Sc/PhaseSpAtPhaseVol_Z3.0218_0.1125_1_R0_6_1/IncludeRunID                = "True"</v>
      </c>
    </row>
    <row r="274" customFormat="false" ht="13.8" hidden="false" customHeight="false" outlineLevel="0" collapsed="false">
      <c r="B274" s="1"/>
      <c r="C274" s="1"/>
      <c r="D274" s="1"/>
      <c r="E274" s="1"/>
      <c r="F274" s="1"/>
      <c r="G274" s="1"/>
      <c r="H274" s="1" t="s">
        <v>8</v>
      </c>
      <c r="J274" s="1" t="str">
        <f aca="false">D266</f>
        <v>_Z3.0218_0.1125_1_R0_6_1</v>
      </c>
      <c r="K274" s="1" t="s">
        <v>23</v>
      </c>
      <c r="P274" s="1" t="str">
        <f aca="false">_xlfn.CONCAT(H274:N274)</f>
        <v>b:Sc/PhaseSpAtPhaseVol_Z3.0218_0.1125_1_R0_6_1/IncludeEventID              = "True"</v>
      </c>
    </row>
    <row r="275" customFormat="false" ht="13.8" hidden="false" customHeight="false" outlineLevel="0" collapsed="false">
      <c r="B275" s="1"/>
      <c r="C275" s="1"/>
      <c r="D275" s="1"/>
      <c r="E275" s="1"/>
      <c r="F275" s="1"/>
      <c r="G275" s="1"/>
      <c r="H275" s="1" t="s">
        <v>8</v>
      </c>
      <c r="J275" s="1" t="str">
        <f aca="false">D266</f>
        <v>_Z3.0218_0.1125_1_R0_6_1</v>
      </c>
      <c r="K275" s="1" t="s">
        <v>24</v>
      </c>
      <c r="P275" s="1" t="str">
        <f aca="false">_xlfn.CONCAT(H275:N275)</f>
        <v>b:Sc/PhaseSpAtPhaseVol_Z3.0218_0.1125_1_R0_6_1/IncludeTrackID              = "True"</v>
      </c>
    </row>
    <row r="276" customFormat="false" ht="13.8" hidden="false" customHeight="false" outlineLevel="0" collapsed="false">
      <c r="B276" s="1"/>
      <c r="C276" s="1"/>
      <c r="D276" s="1"/>
      <c r="E276" s="1"/>
      <c r="F276" s="1"/>
      <c r="G276" s="1"/>
      <c r="H276" s="1" t="s">
        <v>8</v>
      </c>
      <c r="J276" s="1" t="str">
        <f aca="false">D266</f>
        <v>_Z3.0218_0.1125_1_R0_6_1</v>
      </c>
      <c r="K276" s="1" t="s">
        <v>25</v>
      </c>
      <c r="P276" s="1" t="str">
        <f aca="false">_xlfn.CONCAT(H276:N276)</f>
        <v>b:Sc/PhaseSpAtPhaseVol_Z3.0218_0.1125_1_R0_6_1/IncludeTime                 = "True"</v>
      </c>
    </row>
    <row r="277" customFormat="false" ht="13.8" hidden="false" customHeight="false" outlineLevel="0" collapsed="false">
      <c r="B277" s="1"/>
      <c r="C277" s="1"/>
      <c r="D277" s="1"/>
      <c r="E277" s="1"/>
      <c r="F277" s="1"/>
      <c r="G277" s="1"/>
      <c r="H277" s="1" t="s">
        <v>8</v>
      </c>
      <c r="J277" s="1" t="str">
        <f aca="false">D266</f>
        <v>_Z3.0218_0.1125_1_R0_6_1</v>
      </c>
      <c r="K277" s="1" t="s">
        <v>26</v>
      </c>
      <c r="P277" s="1" t="str">
        <f aca="false">_xlfn.CONCAT(H277:N277)</f>
        <v>b:Sc/PhaseSpAtPhaseVol_Z3.0218_0.1125_1_R0_6_1/IncludeSeed                 = "True"</v>
      </c>
    </row>
    <row r="278" customFormat="false" ht="13.8" hidden="false" customHeight="false" outlineLevel="0" collapsed="false">
      <c r="B278" s="1"/>
      <c r="C278" s="1"/>
      <c r="D278" s="1"/>
      <c r="E278" s="1"/>
      <c r="F278" s="1"/>
      <c r="G278" s="1"/>
      <c r="H278" s="1" t="s">
        <v>1</v>
      </c>
      <c r="J278" s="1" t="str">
        <f aca="false">D266</f>
        <v>_Z3.0218_0.1125_1_R0_6_1</v>
      </c>
      <c r="K278" s="1" t="s">
        <v>27</v>
      </c>
      <c r="P278" s="1" t="str">
        <f aca="false">_xlfn.CONCAT(H278:N278)</f>
        <v>s:Sc/PhaseSpAtPhaseVol_Z3.0218_0.1125_1_R0_6_1/IfOutputFileAlreadyExists   = "Overwrite" # Exit, Overwrite or Increment</v>
      </c>
    </row>
    <row r="279" customFormat="false" ht="13.8" hidden="false" customHeight="false" outlineLevel="0" collapsed="false">
      <c r="B279" s="1"/>
      <c r="C279" s="1"/>
      <c r="D279" s="1"/>
      <c r="E279" s="1"/>
      <c r="F279" s="1"/>
      <c r="G279" s="1"/>
      <c r="H279" s="1" t="s">
        <v>8</v>
      </c>
      <c r="J279" s="1" t="str">
        <f aca="false">D266</f>
        <v>_Z3.0218_0.1125_1_R0_6_1</v>
      </c>
      <c r="K279" s="1" t="s">
        <v>28</v>
      </c>
      <c r="P279" s="1" t="str">
        <f aca="false">_xlfn.CONCAT(H279:N279)</f>
        <v>b:Sc/PhaseSpAtPhaseVol_Z3.0218_0.1125_1_R0_6_1/OutputAfterRun              = "True"</v>
      </c>
    </row>
    <row r="280" customFormat="false" ht="13.8" hidden="false" customHeight="false" outlineLevel="0" collapsed="false">
      <c r="B280" s="1"/>
      <c r="C280" s="1"/>
      <c r="D280" s="1"/>
      <c r="E280" s="1"/>
      <c r="F280" s="1"/>
      <c r="G280" s="1"/>
      <c r="H280" s="1" t="s">
        <v>29</v>
      </c>
      <c r="J280" s="1" t="str">
        <f aca="false">D266</f>
        <v>_Z3.0218_0.1125_1_R0_6_1</v>
      </c>
      <c r="K280" s="1" t="s">
        <v>30</v>
      </c>
      <c r="P280" s="1" t="str">
        <f aca="false">_xlfn.CONCAT(H280:N280)</f>
        <v>s:Ge/PhaseVol_Z3.0218_0.1125_1_R0_6_1/Parent     = "World"</v>
      </c>
    </row>
    <row r="281" customFormat="false" ht="13.8" hidden="false" customHeight="false" outlineLevel="0" collapsed="false">
      <c r="B281" s="1"/>
      <c r="C281" s="1"/>
      <c r="D281" s="1"/>
      <c r="E281" s="1"/>
      <c r="F281" s="1"/>
      <c r="G281" s="1"/>
      <c r="H281" s="1" t="s">
        <v>29</v>
      </c>
      <c r="J281" s="1" t="str">
        <f aca="false">D266</f>
        <v>_Z3.0218_0.1125_1_R0_6_1</v>
      </c>
      <c r="K281" s="1" t="s">
        <v>31</v>
      </c>
      <c r="P281" s="1" t="str">
        <f aca="false">_xlfn.CONCAT(H281:N281)</f>
        <v>s:Ge/PhaseVol_Z3.0218_0.1125_1_R0_6_1/Type       =  "TsCylinder"</v>
      </c>
    </row>
    <row r="282" customFormat="false" ht="13.8" hidden="false" customHeight="false" outlineLevel="0" collapsed="false">
      <c r="B282" s="1"/>
      <c r="C282" s="1"/>
      <c r="D282" s="1"/>
      <c r="E282" s="1"/>
      <c r="F282" s="1"/>
      <c r="G282" s="1"/>
      <c r="H282" s="1" t="s">
        <v>29</v>
      </c>
      <c r="J282" s="1" t="str">
        <f aca="false">D266</f>
        <v>_Z3.0218_0.1125_1_R0_6_1</v>
      </c>
      <c r="K282" s="1" t="s">
        <v>32</v>
      </c>
      <c r="P282" s="1" t="str">
        <f aca="false">_xlfn.CONCAT(H282:N282)</f>
        <v>s:Ge/PhaseVol_Z3.0218_0.1125_1_R0_6_1/Material   = "G4_WATER"</v>
      </c>
    </row>
    <row r="283" customFormat="false" ht="13.8" hidden="false" customHeight="false" outlineLevel="0" collapsed="false">
      <c r="B283" s="1"/>
      <c r="C283" s="1"/>
      <c r="D283" s="1"/>
      <c r="E283" s="1"/>
      <c r="F283" s="1"/>
      <c r="G283" s="1"/>
      <c r="H283" s="1" t="s">
        <v>33</v>
      </c>
      <c r="J283" s="1" t="str">
        <f aca="false">D266</f>
        <v>_Z3.0218_0.1125_1_R0_6_1</v>
      </c>
      <c r="K283" s="1" t="s">
        <v>34</v>
      </c>
      <c r="L283" s="1" t="n">
        <f aca="false">D269+E269*(F269 -1)</f>
        <v>0</v>
      </c>
      <c r="M283" s="1" t="s">
        <v>35</v>
      </c>
      <c r="P283" s="1" t="str">
        <f aca="false">_xlfn.CONCAT(H283:N283)</f>
        <v>d:Ge/PhaseVol_Z3.0218_0.1125_1_R0_6_1/Rmin =  0 cm</v>
      </c>
    </row>
    <row r="284" customFormat="false" ht="13.8" hidden="false" customHeight="false" outlineLevel="0" collapsed="false">
      <c r="B284" s="1"/>
      <c r="C284" s="1"/>
      <c r="D284" s="1"/>
      <c r="E284" s="1"/>
      <c r="F284" s="1"/>
      <c r="G284" s="1"/>
      <c r="H284" s="1" t="s">
        <v>33</v>
      </c>
      <c r="J284" s="1" t="str">
        <f aca="false">D266</f>
        <v>_Z3.0218_0.1125_1_R0_6_1</v>
      </c>
      <c r="K284" s="1" t="s">
        <v>36</v>
      </c>
      <c r="L284" s="2" t="n">
        <f aca="false">D269+E269*(F269 )</f>
        <v>6</v>
      </c>
      <c r="M284" s="1" t="s">
        <v>35</v>
      </c>
      <c r="P284" s="1" t="str">
        <f aca="false">_xlfn.CONCAT(H284:N284)</f>
        <v>d:Ge/PhaseVol_Z3.0218_0.1125_1_R0_6_1/Rmax = 6 cm</v>
      </c>
    </row>
    <row r="285" customFormat="false" ht="13.8" hidden="false" customHeight="false" outlineLevel="0" collapsed="false">
      <c r="B285" s="1"/>
      <c r="C285" s="1"/>
      <c r="D285" s="1"/>
      <c r="E285" s="1"/>
      <c r="F285" s="1"/>
      <c r="G285" s="1"/>
      <c r="H285" s="1" t="s">
        <v>33</v>
      </c>
      <c r="J285" s="1" t="str">
        <f aca="false">D266</f>
        <v>_Z3.0218_0.1125_1_R0_6_1</v>
      </c>
      <c r="K285" s="1" t="s">
        <v>37</v>
      </c>
      <c r="L285" s="1" t="n">
        <f aca="false">0.5*E268</f>
        <v>0.05625</v>
      </c>
      <c r="M285" s="1" t="s">
        <v>35</v>
      </c>
      <c r="P285" s="1" t="str">
        <f aca="false">_xlfn.CONCAT(H285:N285)</f>
        <v>d:Ge/PhaseVol_Z3.0218_0.1125_1_R0_6_1/HL = 0.05625 cm</v>
      </c>
    </row>
    <row r="286" customFormat="false" ht="16.95" hidden="false" customHeight="true" outlineLevel="0" collapsed="false">
      <c r="B286" s="1"/>
      <c r="C286" s="1"/>
      <c r="D286" s="1"/>
      <c r="E286" s="1"/>
      <c r="F286" s="1"/>
      <c r="G286" s="1"/>
      <c r="H286" s="1" t="s">
        <v>33</v>
      </c>
      <c r="J286" s="1" t="str">
        <f aca="false">D266</f>
        <v>_Z3.0218_0.1125_1_R0_6_1</v>
      </c>
      <c r="K286" s="3" t="s">
        <v>38</v>
      </c>
      <c r="L286" s="1" t="n">
        <v>0</v>
      </c>
      <c r="M286" s="1" t="s">
        <v>39</v>
      </c>
      <c r="P286" s="1" t="str">
        <f aca="false">_xlfn.CONCAT(H286:N286)</f>
        <v>d:Ge/PhaseVol_Z3.0218_0.1125_1_R0_6_1/Sphi     = 0 deg</v>
      </c>
    </row>
    <row r="287" customFormat="false" ht="16.95" hidden="false" customHeight="true" outlineLevel="0" collapsed="false">
      <c r="B287" s="1"/>
      <c r="C287" s="1"/>
      <c r="D287" s="1"/>
      <c r="E287" s="1"/>
      <c r="F287" s="1"/>
      <c r="G287" s="1"/>
      <c r="H287" s="1" t="s">
        <v>33</v>
      </c>
      <c r="I287" s="1"/>
      <c r="J287" s="1" t="str">
        <f aca="false">D266</f>
        <v>_Z3.0218_0.1125_1_R0_6_1</v>
      </c>
      <c r="K287" s="1" t="s">
        <v>40</v>
      </c>
      <c r="L287" s="1" t="n">
        <v>360</v>
      </c>
      <c r="M287" s="1" t="s">
        <v>39</v>
      </c>
      <c r="P287" s="1" t="str">
        <f aca="false">_xlfn.CONCAT(H287:N287)</f>
        <v>d:Ge/PhaseVol_Z3.0218_0.1125_1_R0_6_1/Dphi     = 360 deg</v>
      </c>
    </row>
    <row r="288" customFormat="false" ht="16.95" hidden="false" customHeight="true" outlineLevel="0" collapsed="false">
      <c r="B288" s="1"/>
      <c r="C288" s="1"/>
      <c r="D288" s="1"/>
      <c r="E288" s="1"/>
      <c r="F288" s="1"/>
      <c r="G288" s="1"/>
      <c r="H288" s="1" t="s">
        <v>33</v>
      </c>
      <c r="J288" s="1" t="str">
        <f aca="false">D266</f>
        <v>_Z3.0218_0.1125_1_R0_6_1</v>
      </c>
      <c r="K288" s="1" t="s">
        <v>41</v>
      </c>
      <c r="L288" s="1" t="n">
        <v>0</v>
      </c>
      <c r="M288" s="1" t="s">
        <v>35</v>
      </c>
      <c r="P288" s="1" t="str">
        <f aca="false">_xlfn.CONCAT(H288:N288)</f>
        <v>d:Ge/PhaseVol_Z3.0218_0.1125_1_R0_6_1/TransX   =  0 cm</v>
      </c>
    </row>
    <row r="289" customFormat="false" ht="16.95" hidden="false" customHeight="true" outlineLevel="0" collapsed="false">
      <c r="A289" s="1"/>
      <c r="B289" s="1"/>
      <c r="C289" s="1"/>
      <c r="D289" s="1"/>
      <c r="E289" s="1"/>
      <c r="F289" s="1"/>
      <c r="G289" s="1"/>
      <c r="H289" s="1" t="s">
        <v>33</v>
      </c>
      <c r="J289" s="1" t="str">
        <f aca="false">D266</f>
        <v>_Z3.0218_0.1125_1_R0_6_1</v>
      </c>
      <c r="K289" s="1" t="s">
        <v>42</v>
      </c>
      <c r="L289" s="1" t="n">
        <v>0</v>
      </c>
      <c r="M289" s="1" t="s">
        <v>35</v>
      </c>
      <c r="P289" s="1" t="str">
        <f aca="false">_xlfn.CONCAT(H289:N289)</f>
        <v>d:Ge/PhaseVol_Z3.0218_0.1125_1_R0_6_1/TransY   =  0 cm</v>
      </c>
    </row>
    <row r="290" customFormat="false" ht="16.95" hidden="false" customHeight="true" outlineLevel="0" collapsed="false">
      <c r="A290" s="1"/>
      <c r="B290" s="1"/>
      <c r="C290" s="1"/>
      <c r="D290" s="1"/>
      <c r="E290" s="1"/>
      <c r="F290" s="1"/>
      <c r="G290" s="1"/>
      <c r="H290" s="1" t="s">
        <v>33</v>
      </c>
      <c r="J290" s="1" t="str">
        <f aca="false">D266</f>
        <v>_Z3.0218_0.1125_1_R0_6_1</v>
      </c>
      <c r="K290" s="1" t="s">
        <v>43</v>
      </c>
      <c r="L290" s="1" t="n">
        <f aca="false">-1*(D268-0.5*E268+E268*(F268))</f>
        <v>-3.07805</v>
      </c>
      <c r="M290" s="1" t="s">
        <v>35</v>
      </c>
      <c r="P290" s="1" t="str">
        <f aca="false">_xlfn.CONCAT(H290:N290)</f>
        <v>d:Ge/PhaseVol_Z3.0218_0.1125_1_R0_6_1/TransZ   =  -3.07805 cm</v>
      </c>
    </row>
    <row r="291" customFormat="false" ht="16.95" hidden="false" customHeight="true" outlineLevel="0" collapsed="false">
      <c r="B291" s="1"/>
      <c r="C291" s="1"/>
      <c r="D291" s="1"/>
      <c r="E291" s="1"/>
      <c r="F291" s="1"/>
      <c r="G291" s="1"/>
      <c r="H291" s="1" t="s">
        <v>33</v>
      </c>
      <c r="J291" s="1" t="str">
        <f aca="false">D266</f>
        <v>_Z3.0218_0.1125_1_R0_6_1</v>
      </c>
      <c r="K291" s="1" t="s">
        <v>44</v>
      </c>
      <c r="L291" s="1" t="n">
        <v>0</v>
      </c>
      <c r="M291" s="1" t="s">
        <v>39</v>
      </c>
      <c r="P291" s="1" t="str">
        <f aca="false">_xlfn.CONCAT(H291:N291)</f>
        <v>d:Ge/PhaseVol_Z3.0218_0.1125_1_R0_6_1/RotX     = 0 deg</v>
      </c>
    </row>
    <row r="292" customFormat="false" ht="16.95" hidden="false" customHeight="true" outlineLevel="0" collapsed="false">
      <c r="B292" s="1"/>
      <c r="C292" s="1"/>
      <c r="D292" s="1"/>
      <c r="E292" s="1"/>
      <c r="F292" s="1"/>
      <c r="G292" s="1"/>
      <c r="H292" s="1" t="s">
        <v>33</v>
      </c>
      <c r="J292" s="1" t="str">
        <f aca="false">D266</f>
        <v>_Z3.0218_0.1125_1_R0_6_1</v>
      </c>
      <c r="K292" s="1" t="s">
        <v>45</v>
      </c>
      <c r="L292" s="1" t="n">
        <v>0</v>
      </c>
      <c r="M292" s="1" t="s">
        <v>39</v>
      </c>
      <c r="P292" s="1" t="str">
        <f aca="false">_xlfn.CONCAT(H292:N292)</f>
        <v>d:Ge/PhaseVol_Z3.0218_0.1125_1_R0_6_1/RotY     =  0 deg</v>
      </c>
    </row>
    <row r="293" customFormat="false" ht="16.95" hidden="false" customHeight="true" outlineLevel="0" collapsed="false">
      <c r="B293" s="1"/>
      <c r="C293" s="1"/>
      <c r="D293" s="1"/>
      <c r="E293" s="1"/>
      <c r="F293" s="1"/>
      <c r="G293" s="1"/>
      <c r="H293" s="1" t="s">
        <v>33</v>
      </c>
      <c r="J293" s="1" t="str">
        <f aca="false">D266</f>
        <v>_Z3.0218_0.1125_1_R0_6_1</v>
      </c>
      <c r="K293" s="1" t="s">
        <v>46</v>
      </c>
      <c r="L293" s="1" t="n">
        <v>0</v>
      </c>
      <c r="M293" s="1" t="s">
        <v>39</v>
      </c>
      <c r="P293" s="1" t="str">
        <f aca="false">_xlfn.CONCAT(H293:N293)</f>
        <v>d:Ge/PhaseVol_Z3.0218_0.1125_1_R0_6_1/RotZ     = 0 deg</v>
      </c>
    </row>
    <row r="294" customFormat="false" ht="16.95" hidden="false" customHeight="true" outlineLevel="0" collapsed="false">
      <c r="B294" s="1"/>
      <c r="C294" s="1"/>
      <c r="D294" s="1"/>
      <c r="E294" s="1"/>
      <c r="F294" s="1"/>
      <c r="G294" s="1"/>
      <c r="H294" s="1" t="s">
        <v>29</v>
      </c>
      <c r="J294" s="1" t="str">
        <f aca="false">D266</f>
        <v>_Z3.0218_0.1125_1_R0_6_1</v>
      </c>
      <c r="K294" s="1" t="s">
        <v>47</v>
      </c>
      <c r="P294" s="1" t="str">
        <f aca="false">_xlfn.CONCAT(H294:N294)</f>
        <v>s:Ge/PhaseVol_Z3.0218_0.1125_1_R0_6_1/Color    = "blue"</v>
      </c>
    </row>
    <row r="295" customFormat="false" ht="16.95" hidden="false" customHeight="true" outlineLevel="0" collapsed="false">
      <c r="B295" s="1"/>
      <c r="C295" s="1"/>
      <c r="D295" s="1"/>
      <c r="E295" s="1"/>
      <c r="F295" s="1"/>
      <c r="G295" s="1"/>
      <c r="H295" s="1" t="s">
        <v>48</v>
      </c>
      <c r="J295" s="1" t="str">
        <f aca="false">D266</f>
        <v>_Z3.0218_0.1125_1_R0_6_1</v>
      </c>
      <c r="K295" s="1" t="s">
        <v>49</v>
      </c>
      <c r="L295" s="4" t="n">
        <f aca="false">G268</f>
        <v>20</v>
      </c>
      <c r="P295" s="1" t="str">
        <f aca="false">_xlfn.CONCAT(H295:N295)</f>
        <v>i:Ge/PhaseVol_Z3.0218_0.1125_1_R0_6_1/Zbins    =  20</v>
      </c>
    </row>
    <row r="296" customFormat="false" ht="13.8" hidden="false" customHeight="false" outlineLevel="0" collapsed="false">
      <c r="H296" s="1" t="s">
        <v>48</v>
      </c>
      <c r="J296" s="1" t="str">
        <f aca="false">D266</f>
        <v>_Z3.0218_0.1125_1_R0_6_1</v>
      </c>
      <c r="K296" s="1" t="s">
        <v>50</v>
      </c>
      <c r="L296" s="4" t="n">
        <f aca="false">G269</f>
        <v>1</v>
      </c>
      <c r="P296" s="1" t="str">
        <f aca="false">_xlfn.CONCAT(H296:N296)</f>
        <v>i:Ge/PhaseVol_Z3.0218_0.1125_1_R0_6_1/Rbins    =  1</v>
      </c>
    </row>
    <row r="297" customFormat="false" ht="13.8" hidden="false" customHeight="false" outlineLevel="0" collapsed="false">
      <c r="H297" s="1" t="s">
        <v>48</v>
      </c>
      <c r="J297" s="1" t="str">
        <f aca="false">D266</f>
        <v>_Z3.0218_0.1125_1_R0_6_1</v>
      </c>
      <c r="K297" s="1" t="s">
        <v>51</v>
      </c>
      <c r="L297" s="4" t="n">
        <f aca="false">G270</f>
        <v>1</v>
      </c>
      <c r="P297" s="1" t="str">
        <f aca="false">_xlfn.CONCAT(H297:N297)</f>
        <v>i:Ge/PhaseVol_Z3.0218_0.1125_1_R0_6_1/PhiBins    =  1</v>
      </c>
    </row>
    <row r="299" customFormat="false" ht="13.8" hidden="false" customHeight="false" outlineLevel="0" collapsed="false">
      <c r="C299" s="1" t="s">
        <v>0</v>
      </c>
      <c r="D299" s="1" t="str">
        <f aca="false">(IF(D301&lt;0,"_Zm","_Z"))&amp;ABS(D301)&amp;"_"&amp;E301&amp;"_"&amp;F301&amp;"_R"&amp;D302&amp;"_"&amp;E302&amp;"_"&amp;F302</f>
        <v>_Z3.1343_0.2345_1_R0_6_1</v>
      </c>
      <c r="H299" s="1" t="s">
        <v>1</v>
      </c>
      <c r="J299" s="1" t="str">
        <f aca="false">D299</f>
        <v>_Z3.1343_0.2345_1_R0_6_1</v>
      </c>
      <c r="K299" s="1" t="s">
        <v>2</v>
      </c>
      <c r="P299" s="1" t="str">
        <f aca="false">_xlfn.CONCAT(H299:N299)</f>
        <v>s:Sc/PhaseSpAtPhaseVol_Z3.1343_0.2345_1_R0_6_1/Quantity                    = "PhaseSpace"</v>
      </c>
    </row>
    <row r="300" customFormat="false" ht="13.8" hidden="false" customHeight="false" outlineLevel="0" collapsed="false">
      <c r="B300" s="1"/>
      <c r="C300" s="1" t="s">
        <v>3</v>
      </c>
      <c r="D300" s="1" t="s">
        <v>4</v>
      </c>
      <c r="E300" s="1" t="s">
        <v>5</v>
      </c>
      <c r="F300" s="1" t="s">
        <v>6</v>
      </c>
      <c r="G300" s="1" t="s">
        <v>7</v>
      </c>
      <c r="H300" s="1" t="s">
        <v>8</v>
      </c>
      <c r="J300" s="1" t="str">
        <f aca="false">D299</f>
        <v>_Z3.1343_0.2345_1_R0_6_1</v>
      </c>
      <c r="K300" s="1" t="s">
        <v>9</v>
      </c>
      <c r="P300" s="1" t="str">
        <f aca="false">_xlfn.CONCAT(H300:N300)</f>
        <v>b:Sc/PhaseSpAtPhaseVol_Z3.1343_0.2345_1_R0_6_1/OutputToConsole             = "True"</v>
      </c>
    </row>
    <row r="301" customFormat="false" ht="13.8" hidden="false" customHeight="false" outlineLevel="0" collapsed="false">
      <c r="B301" s="1"/>
      <c r="C301" s="1" t="s">
        <v>10</v>
      </c>
      <c r="D301" s="1" t="n">
        <f aca="false">D268+E268</f>
        <v>3.1343</v>
      </c>
      <c r="E301" s="0" t="n">
        <v>0.2345</v>
      </c>
      <c r="F301" s="1" t="n">
        <v>1</v>
      </c>
      <c r="G301" s="1" t="n">
        <v>7</v>
      </c>
      <c r="H301" s="1" t="s">
        <v>1</v>
      </c>
      <c r="J301" s="1" t="str">
        <f aca="false">D299</f>
        <v>_Z3.1343_0.2345_1_R0_6_1</v>
      </c>
      <c r="K301" s="1" t="s">
        <v>11</v>
      </c>
      <c r="L301" s="1" t="str">
        <f aca="false">D299</f>
        <v>_Z3.1343_0.2345_1_R0_6_1</v>
      </c>
      <c r="M301" s="1" t="s">
        <v>12</v>
      </c>
      <c r="P301" s="1" t="str">
        <f aca="false">_xlfn.CONCAT(H301:N301)</f>
        <v>s:Sc/PhaseSpAtPhaseVol_Z3.1343_0.2345_1_R0_6_1/Surface                     = "PhaseVol_Z3.1343_0.2345_1_R0_6_1/ZMinusSurface"</v>
      </c>
    </row>
    <row r="302" customFormat="false" ht="13.8" hidden="false" customHeight="false" outlineLevel="0" collapsed="false">
      <c r="B302" s="1"/>
      <c r="C302" s="1" t="s">
        <v>13</v>
      </c>
      <c r="D302" s="1" t="n">
        <v>0</v>
      </c>
      <c r="E302" s="1" t="n">
        <f aca="false">E269</f>
        <v>6</v>
      </c>
      <c r="F302" s="1" t="n">
        <v>1</v>
      </c>
      <c r="G302" s="1" t="n">
        <v>1</v>
      </c>
      <c r="H302" s="1" t="s">
        <v>1</v>
      </c>
      <c r="J302" s="1" t="str">
        <f aca="false">D299</f>
        <v>_Z3.1343_0.2345_1_R0_6_1</v>
      </c>
      <c r="K302" s="1" t="s">
        <v>14</v>
      </c>
      <c r="P302" s="1" t="str">
        <f aca="false">_xlfn.CONCAT(H302:N302)</f>
        <v>s:Sc/PhaseSpAtPhaseVol_Z3.1343_0.2345_1_R0_6_1/OutputType                  = "ASCII" # ASCII or Binary</v>
      </c>
    </row>
    <row r="303" customFormat="false" ht="13.8" hidden="false" customHeight="false" outlineLevel="0" collapsed="false">
      <c r="B303" s="1"/>
      <c r="C303" s="1" t="s">
        <v>15</v>
      </c>
      <c r="D303" s="1"/>
      <c r="E303" s="1"/>
      <c r="F303" s="1"/>
      <c r="G303" s="1" t="n">
        <v>1</v>
      </c>
      <c r="H303" s="1" t="s">
        <v>1</v>
      </c>
      <c r="J303" s="1" t="str">
        <f aca="false">D299</f>
        <v>_Z3.1343_0.2345_1_R0_6_1</v>
      </c>
      <c r="K303" s="1" t="s">
        <v>16</v>
      </c>
      <c r="L303" s="1" t="str">
        <f aca="false">D299</f>
        <v>_Z3.1343_0.2345_1_R0_6_1</v>
      </c>
      <c r="M303" s="1" t="s">
        <v>17</v>
      </c>
      <c r="P303" s="1" t="str">
        <f aca="false">_xlfn.CONCAT(H303:N303)</f>
        <v>s:Sc/PhaseSpAtPhaseVol_Z3.1343_0.2345_1_R0_6_1/OutputFile                  = "PhaseSpASCII_Z3.1343_0.2345_1_R0_6_1"</v>
      </c>
    </row>
    <row r="304" customFormat="false" ht="13.8" hidden="false" customHeight="false" outlineLevel="0" collapsed="false">
      <c r="B304" s="1"/>
      <c r="C304" s="1"/>
      <c r="D304" s="1"/>
      <c r="E304" s="1"/>
      <c r="F304" s="1"/>
      <c r="G304" s="1"/>
      <c r="H304" s="1" t="s">
        <v>18</v>
      </c>
      <c r="J304" s="1" t="str">
        <f aca="false">D299</f>
        <v>_Z3.1343_0.2345_1_R0_6_1</v>
      </c>
      <c r="K304" s="1" t="s">
        <v>19</v>
      </c>
      <c r="P304" s="1" t="str">
        <f aca="false">_xlfn.CONCAT(H304:N304)</f>
        <v>i:Sc/PhaseSpAtPhaseVol_Z3.1343_0.2345_1_R0_6_1/OutputBufferSize            = 1000</v>
      </c>
    </row>
    <row r="305" customFormat="false" ht="13.8" hidden="false" customHeight="false" outlineLevel="0" collapsed="false">
      <c r="B305" s="1"/>
      <c r="C305" s="1"/>
      <c r="D305" s="1"/>
      <c r="E305" s="1"/>
      <c r="F305" s="1"/>
      <c r="G305" s="1"/>
      <c r="H305" s="1" t="s">
        <v>20</v>
      </c>
      <c r="J305" s="1" t="str">
        <f aca="false">D299</f>
        <v>_Z3.1343_0.2345_1_R0_6_1</v>
      </c>
      <c r="K305" s="1" t="s">
        <v>21</v>
      </c>
      <c r="P305" s="1" t="str">
        <f aca="false">_xlfn.CONCAT(H305:N305)</f>
        <v># s:Sc/PhaseSpAtPhaseVol_Z3.1343_0.2345_1_R0_6_1/OnlyIncludeParticlesGoing  = "In"</v>
      </c>
    </row>
    <row r="306" customFormat="false" ht="13.8" hidden="false" customHeight="false" outlineLevel="0" collapsed="false">
      <c r="B306" s="1"/>
      <c r="C306" s="1"/>
      <c r="D306" s="1"/>
      <c r="E306" s="1"/>
      <c r="F306" s="1"/>
      <c r="G306" s="1"/>
      <c r="H306" s="1" t="s">
        <v>8</v>
      </c>
      <c r="J306" s="1" t="str">
        <f aca="false">D299</f>
        <v>_Z3.1343_0.2345_1_R0_6_1</v>
      </c>
      <c r="K306" s="1" t="s">
        <v>22</v>
      </c>
      <c r="P306" s="1" t="str">
        <f aca="false">_xlfn.CONCAT(H306:N306)</f>
        <v>b:Sc/PhaseSpAtPhaseVol_Z3.1343_0.2345_1_R0_6_1/IncludeRunID                = "True"</v>
      </c>
    </row>
    <row r="307" customFormat="false" ht="13.8" hidden="false" customHeight="false" outlineLevel="0" collapsed="false">
      <c r="B307" s="1"/>
      <c r="C307" s="1"/>
      <c r="D307" s="1"/>
      <c r="E307" s="1"/>
      <c r="F307" s="1"/>
      <c r="G307" s="1"/>
      <c r="H307" s="1" t="s">
        <v>8</v>
      </c>
      <c r="J307" s="1" t="str">
        <f aca="false">D299</f>
        <v>_Z3.1343_0.2345_1_R0_6_1</v>
      </c>
      <c r="K307" s="1" t="s">
        <v>23</v>
      </c>
      <c r="P307" s="1" t="str">
        <f aca="false">_xlfn.CONCAT(H307:N307)</f>
        <v>b:Sc/PhaseSpAtPhaseVol_Z3.1343_0.2345_1_R0_6_1/IncludeEventID              = "True"</v>
      </c>
    </row>
    <row r="308" customFormat="false" ht="13.8" hidden="false" customHeight="false" outlineLevel="0" collapsed="false">
      <c r="B308" s="1"/>
      <c r="C308" s="1"/>
      <c r="D308" s="1"/>
      <c r="E308" s="1"/>
      <c r="F308" s="1"/>
      <c r="G308" s="1"/>
      <c r="H308" s="1" t="s">
        <v>8</v>
      </c>
      <c r="J308" s="1" t="str">
        <f aca="false">D299</f>
        <v>_Z3.1343_0.2345_1_R0_6_1</v>
      </c>
      <c r="K308" s="1" t="s">
        <v>24</v>
      </c>
      <c r="P308" s="1" t="str">
        <f aca="false">_xlfn.CONCAT(H308:N308)</f>
        <v>b:Sc/PhaseSpAtPhaseVol_Z3.1343_0.2345_1_R0_6_1/IncludeTrackID              = "True"</v>
      </c>
    </row>
    <row r="309" customFormat="false" ht="13.8" hidden="false" customHeight="false" outlineLevel="0" collapsed="false">
      <c r="B309" s="1"/>
      <c r="C309" s="1"/>
      <c r="D309" s="1"/>
      <c r="E309" s="1"/>
      <c r="F309" s="1"/>
      <c r="G309" s="1"/>
      <c r="H309" s="1" t="s">
        <v>8</v>
      </c>
      <c r="J309" s="1" t="str">
        <f aca="false">D299</f>
        <v>_Z3.1343_0.2345_1_R0_6_1</v>
      </c>
      <c r="K309" s="1" t="s">
        <v>25</v>
      </c>
      <c r="P309" s="1" t="str">
        <f aca="false">_xlfn.CONCAT(H309:N309)</f>
        <v>b:Sc/PhaseSpAtPhaseVol_Z3.1343_0.2345_1_R0_6_1/IncludeTime                 = "True"</v>
      </c>
    </row>
    <row r="310" customFormat="false" ht="13.8" hidden="false" customHeight="false" outlineLevel="0" collapsed="false">
      <c r="B310" s="1"/>
      <c r="C310" s="1"/>
      <c r="D310" s="1"/>
      <c r="E310" s="1"/>
      <c r="F310" s="1"/>
      <c r="G310" s="1"/>
      <c r="H310" s="1" t="s">
        <v>8</v>
      </c>
      <c r="J310" s="1" t="str">
        <f aca="false">D299</f>
        <v>_Z3.1343_0.2345_1_R0_6_1</v>
      </c>
      <c r="K310" s="1" t="s">
        <v>26</v>
      </c>
      <c r="P310" s="1" t="str">
        <f aca="false">_xlfn.CONCAT(H310:N310)</f>
        <v>b:Sc/PhaseSpAtPhaseVol_Z3.1343_0.2345_1_R0_6_1/IncludeSeed                 = "True"</v>
      </c>
    </row>
    <row r="311" customFormat="false" ht="13.8" hidden="false" customHeight="false" outlineLevel="0" collapsed="false">
      <c r="B311" s="1"/>
      <c r="C311" s="1"/>
      <c r="D311" s="1"/>
      <c r="E311" s="1"/>
      <c r="F311" s="1"/>
      <c r="G311" s="1"/>
      <c r="H311" s="1" t="s">
        <v>1</v>
      </c>
      <c r="J311" s="1" t="str">
        <f aca="false">D299</f>
        <v>_Z3.1343_0.2345_1_R0_6_1</v>
      </c>
      <c r="K311" s="1" t="s">
        <v>27</v>
      </c>
      <c r="P311" s="1" t="str">
        <f aca="false">_xlfn.CONCAT(H311:N311)</f>
        <v>s:Sc/PhaseSpAtPhaseVol_Z3.1343_0.2345_1_R0_6_1/IfOutputFileAlreadyExists   = "Overwrite" # Exit, Overwrite or Increment</v>
      </c>
    </row>
    <row r="312" customFormat="false" ht="13.8" hidden="false" customHeight="false" outlineLevel="0" collapsed="false">
      <c r="B312" s="1"/>
      <c r="C312" s="1"/>
      <c r="D312" s="1"/>
      <c r="E312" s="1"/>
      <c r="F312" s="1"/>
      <c r="G312" s="1"/>
      <c r="H312" s="1" t="s">
        <v>8</v>
      </c>
      <c r="J312" s="1" t="str">
        <f aca="false">D299</f>
        <v>_Z3.1343_0.2345_1_R0_6_1</v>
      </c>
      <c r="K312" s="1" t="s">
        <v>28</v>
      </c>
      <c r="P312" s="1" t="str">
        <f aca="false">_xlfn.CONCAT(H312:N312)</f>
        <v>b:Sc/PhaseSpAtPhaseVol_Z3.1343_0.2345_1_R0_6_1/OutputAfterRun              = "True"</v>
      </c>
    </row>
    <row r="313" customFormat="false" ht="13.8" hidden="false" customHeight="false" outlineLevel="0" collapsed="false">
      <c r="B313" s="1"/>
      <c r="C313" s="1"/>
      <c r="D313" s="1"/>
      <c r="E313" s="1"/>
      <c r="F313" s="1"/>
      <c r="G313" s="1"/>
      <c r="H313" s="1" t="s">
        <v>29</v>
      </c>
      <c r="J313" s="1" t="str">
        <f aca="false">D299</f>
        <v>_Z3.1343_0.2345_1_R0_6_1</v>
      </c>
      <c r="K313" s="1" t="s">
        <v>30</v>
      </c>
      <c r="P313" s="1" t="str">
        <f aca="false">_xlfn.CONCAT(H313:N313)</f>
        <v>s:Ge/PhaseVol_Z3.1343_0.2345_1_R0_6_1/Parent     = "World"</v>
      </c>
    </row>
    <row r="314" customFormat="false" ht="13.8" hidden="false" customHeight="false" outlineLevel="0" collapsed="false">
      <c r="B314" s="1"/>
      <c r="C314" s="1"/>
      <c r="D314" s="1"/>
      <c r="E314" s="1"/>
      <c r="F314" s="1"/>
      <c r="G314" s="1"/>
      <c r="H314" s="1" t="s">
        <v>29</v>
      </c>
      <c r="J314" s="1" t="str">
        <f aca="false">D299</f>
        <v>_Z3.1343_0.2345_1_R0_6_1</v>
      </c>
      <c r="K314" s="1" t="s">
        <v>31</v>
      </c>
      <c r="P314" s="1" t="str">
        <f aca="false">_xlfn.CONCAT(H314:N314)</f>
        <v>s:Ge/PhaseVol_Z3.1343_0.2345_1_R0_6_1/Type       =  "TsCylinder"</v>
      </c>
    </row>
    <row r="315" customFormat="false" ht="13.8" hidden="false" customHeight="false" outlineLevel="0" collapsed="false">
      <c r="B315" s="1"/>
      <c r="C315" s="1"/>
      <c r="D315" s="1"/>
      <c r="E315" s="1"/>
      <c r="F315" s="1"/>
      <c r="G315" s="1"/>
      <c r="H315" s="1" t="s">
        <v>29</v>
      </c>
      <c r="J315" s="1" t="str">
        <f aca="false">D299</f>
        <v>_Z3.1343_0.2345_1_R0_6_1</v>
      </c>
      <c r="K315" s="1" t="s">
        <v>32</v>
      </c>
      <c r="P315" s="1" t="str">
        <f aca="false">_xlfn.CONCAT(H315:N315)</f>
        <v>s:Ge/PhaseVol_Z3.1343_0.2345_1_R0_6_1/Material   = "G4_WATER"</v>
      </c>
    </row>
    <row r="316" customFormat="false" ht="13.8" hidden="false" customHeight="false" outlineLevel="0" collapsed="false">
      <c r="B316" s="1"/>
      <c r="C316" s="1"/>
      <c r="D316" s="1"/>
      <c r="E316" s="1"/>
      <c r="F316" s="1"/>
      <c r="G316" s="1"/>
      <c r="H316" s="1" t="s">
        <v>33</v>
      </c>
      <c r="J316" s="1" t="str">
        <f aca="false">D299</f>
        <v>_Z3.1343_0.2345_1_R0_6_1</v>
      </c>
      <c r="K316" s="1" t="s">
        <v>34</v>
      </c>
      <c r="L316" s="1" t="n">
        <f aca="false">D302+E302*(F302 -1)</f>
        <v>0</v>
      </c>
      <c r="M316" s="1" t="s">
        <v>35</v>
      </c>
      <c r="P316" s="1" t="str">
        <f aca="false">_xlfn.CONCAT(H316:N316)</f>
        <v>d:Ge/PhaseVol_Z3.1343_0.2345_1_R0_6_1/Rmin =  0 cm</v>
      </c>
    </row>
    <row r="317" customFormat="false" ht="13.8" hidden="false" customHeight="false" outlineLevel="0" collapsed="false">
      <c r="B317" s="1"/>
      <c r="C317" s="1"/>
      <c r="D317" s="1"/>
      <c r="E317" s="1"/>
      <c r="F317" s="1"/>
      <c r="G317" s="1"/>
      <c r="H317" s="1" t="s">
        <v>33</v>
      </c>
      <c r="J317" s="1" t="str">
        <f aca="false">D299</f>
        <v>_Z3.1343_0.2345_1_R0_6_1</v>
      </c>
      <c r="K317" s="1" t="s">
        <v>36</v>
      </c>
      <c r="L317" s="2" t="n">
        <f aca="false">D302+E302*(F302 )</f>
        <v>6</v>
      </c>
      <c r="M317" s="1" t="s">
        <v>35</v>
      </c>
      <c r="P317" s="1" t="str">
        <f aca="false">_xlfn.CONCAT(H317:N317)</f>
        <v>d:Ge/PhaseVol_Z3.1343_0.2345_1_R0_6_1/Rmax = 6 cm</v>
      </c>
    </row>
    <row r="318" customFormat="false" ht="13.8" hidden="false" customHeight="false" outlineLevel="0" collapsed="false">
      <c r="B318" s="1"/>
      <c r="C318" s="1"/>
      <c r="D318" s="1"/>
      <c r="E318" s="1"/>
      <c r="F318" s="1"/>
      <c r="G318" s="1"/>
      <c r="H318" s="1" t="s">
        <v>33</v>
      </c>
      <c r="J318" s="1" t="str">
        <f aca="false">D299</f>
        <v>_Z3.1343_0.2345_1_R0_6_1</v>
      </c>
      <c r="K318" s="1" t="s">
        <v>37</v>
      </c>
      <c r="L318" s="1" t="n">
        <f aca="false">0.5*E301</f>
        <v>0.11725</v>
      </c>
      <c r="M318" s="1" t="s">
        <v>35</v>
      </c>
      <c r="P318" s="1" t="str">
        <f aca="false">_xlfn.CONCAT(H318:N318)</f>
        <v>d:Ge/PhaseVol_Z3.1343_0.2345_1_R0_6_1/HL = 0.11725 cm</v>
      </c>
    </row>
    <row r="319" customFormat="false" ht="16.95" hidden="false" customHeight="true" outlineLevel="0" collapsed="false">
      <c r="B319" s="1"/>
      <c r="C319" s="1"/>
      <c r="D319" s="1"/>
      <c r="E319" s="1"/>
      <c r="F319" s="1"/>
      <c r="G319" s="1"/>
      <c r="H319" s="1" t="s">
        <v>33</v>
      </c>
      <c r="J319" s="1" t="str">
        <f aca="false">D299</f>
        <v>_Z3.1343_0.2345_1_R0_6_1</v>
      </c>
      <c r="K319" s="3" t="s">
        <v>38</v>
      </c>
      <c r="L319" s="1" t="n">
        <v>0</v>
      </c>
      <c r="M319" s="1" t="s">
        <v>39</v>
      </c>
      <c r="P319" s="1" t="str">
        <f aca="false">_xlfn.CONCAT(H319:N319)</f>
        <v>d:Ge/PhaseVol_Z3.1343_0.2345_1_R0_6_1/Sphi     = 0 deg</v>
      </c>
    </row>
    <row r="320" customFormat="false" ht="16.95" hidden="false" customHeight="true" outlineLevel="0" collapsed="false">
      <c r="B320" s="1"/>
      <c r="C320" s="1"/>
      <c r="D320" s="1"/>
      <c r="E320" s="1"/>
      <c r="F320" s="1"/>
      <c r="G320" s="1"/>
      <c r="H320" s="1" t="s">
        <v>33</v>
      </c>
      <c r="I320" s="1"/>
      <c r="J320" s="1" t="str">
        <f aca="false">D299</f>
        <v>_Z3.1343_0.2345_1_R0_6_1</v>
      </c>
      <c r="K320" s="1" t="s">
        <v>40</v>
      </c>
      <c r="L320" s="1" t="n">
        <v>360</v>
      </c>
      <c r="M320" s="1" t="s">
        <v>39</v>
      </c>
      <c r="P320" s="1" t="str">
        <f aca="false">_xlfn.CONCAT(H320:N320)</f>
        <v>d:Ge/PhaseVol_Z3.1343_0.2345_1_R0_6_1/Dphi     = 360 deg</v>
      </c>
    </row>
    <row r="321" customFormat="false" ht="16.95" hidden="false" customHeight="true" outlineLevel="0" collapsed="false">
      <c r="B321" s="1"/>
      <c r="C321" s="1"/>
      <c r="D321" s="1"/>
      <c r="E321" s="1"/>
      <c r="F321" s="1"/>
      <c r="G321" s="1"/>
      <c r="H321" s="1" t="s">
        <v>33</v>
      </c>
      <c r="J321" s="1" t="str">
        <f aca="false">D299</f>
        <v>_Z3.1343_0.2345_1_R0_6_1</v>
      </c>
      <c r="K321" s="1" t="s">
        <v>41</v>
      </c>
      <c r="L321" s="1" t="n">
        <v>0</v>
      </c>
      <c r="M321" s="1" t="s">
        <v>35</v>
      </c>
      <c r="P321" s="1" t="str">
        <f aca="false">_xlfn.CONCAT(H321:N321)</f>
        <v>d:Ge/PhaseVol_Z3.1343_0.2345_1_R0_6_1/TransX   =  0 cm</v>
      </c>
    </row>
    <row r="322" customFormat="false" ht="16.95" hidden="false" customHeight="true" outlineLevel="0" collapsed="false">
      <c r="A322" s="1"/>
      <c r="B322" s="1"/>
      <c r="C322" s="1"/>
      <c r="D322" s="1"/>
      <c r="E322" s="1"/>
      <c r="F322" s="1"/>
      <c r="G322" s="1"/>
      <c r="H322" s="1" t="s">
        <v>33</v>
      </c>
      <c r="J322" s="1" t="str">
        <f aca="false">D299</f>
        <v>_Z3.1343_0.2345_1_R0_6_1</v>
      </c>
      <c r="K322" s="1" t="s">
        <v>42</v>
      </c>
      <c r="L322" s="1" t="n">
        <v>0</v>
      </c>
      <c r="M322" s="1" t="s">
        <v>35</v>
      </c>
      <c r="P322" s="1" t="str">
        <f aca="false">_xlfn.CONCAT(H322:N322)</f>
        <v>d:Ge/PhaseVol_Z3.1343_0.2345_1_R0_6_1/TransY   =  0 cm</v>
      </c>
    </row>
    <row r="323" customFormat="false" ht="16.95" hidden="false" customHeight="true" outlineLevel="0" collapsed="false">
      <c r="A323" s="1"/>
      <c r="B323" s="1"/>
      <c r="C323" s="1"/>
      <c r="D323" s="1"/>
      <c r="E323" s="1"/>
      <c r="F323" s="1"/>
      <c r="G323" s="1"/>
      <c r="H323" s="1" t="s">
        <v>33</v>
      </c>
      <c r="J323" s="1" t="str">
        <f aca="false">D299</f>
        <v>_Z3.1343_0.2345_1_R0_6_1</v>
      </c>
      <c r="K323" s="1" t="s">
        <v>43</v>
      </c>
      <c r="L323" s="1" t="n">
        <f aca="false">-1*(D301-0.5*E301+E301*(F301))</f>
        <v>-3.25155</v>
      </c>
      <c r="M323" s="1" t="s">
        <v>35</v>
      </c>
      <c r="P323" s="1" t="str">
        <f aca="false">_xlfn.CONCAT(H323:N323)</f>
        <v>d:Ge/PhaseVol_Z3.1343_0.2345_1_R0_6_1/TransZ   =  -3.25155 cm</v>
      </c>
    </row>
    <row r="324" customFormat="false" ht="16.95" hidden="false" customHeight="true" outlineLevel="0" collapsed="false">
      <c r="B324" s="1"/>
      <c r="C324" s="1"/>
      <c r="D324" s="1"/>
      <c r="E324" s="1"/>
      <c r="F324" s="1"/>
      <c r="G324" s="1"/>
      <c r="H324" s="1" t="s">
        <v>33</v>
      </c>
      <c r="J324" s="1" t="str">
        <f aca="false">D299</f>
        <v>_Z3.1343_0.2345_1_R0_6_1</v>
      </c>
      <c r="K324" s="1" t="s">
        <v>44</v>
      </c>
      <c r="L324" s="1" t="n">
        <v>0</v>
      </c>
      <c r="M324" s="1" t="s">
        <v>39</v>
      </c>
      <c r="P324" s="1" t="str">
        <f aca="false">_xlfn.CONCAT(H324:N324)</f>
        <v>d:Ge/PhaseVol_Z3.1343_0.2345_1_R0_6_1/RotX     = 0 deg</v>
      </c>
    </row>
    <row r="325" customFormat="false" ht="16.95" hidden="false" customHeight="true" outlineLevel="0" collapsed="false">
      <c r="B325" s="1"/>
      <c r="C325" s="1"/>
      <c r="D325" s="1"/>
      <c r="E325" s="1"/>
      <c r="F325" s="1"/>
      <c r="G325" s="1"/>
      <c r="H325" s="1" t="s">
        <v>33</v>
      </c>
      <c r="J325" s="1" t="str">
        <f aca="false">D299</f>
        <v>_Z3.1343_0.2345_1_R0_6_1</v>
      </c>
      <c r="K325" s="1" t="s">
        <v>45</v>
      </c>
      <c r="L325" s="1" t="n">
        <v>0</v>
      </c>
      <c r="M325" s="1" t="s">
        <v>39</v>
      </c>
      <c r="P325" s="1" t="str">
        <f aca="false">_xlfn.CONCAT(H325:N325)</f>
        <v>d:Ge/PhaseVol_Z3.1343_0.2345_1_R0_6_1/RotY     =  0 deg</v>
      </c>
    </row>
    <row r="326" customFormat="false" ht="16.95" hidden="false" customHeight="true" outlineLevel="0" collapsed="false">
      <c r="B326" s="1"/>
      <c r="C326" s="1"/>
      <c r="D326" s="1"/>
      <c r="E326" s="1"/>
      <c r="F326" s="1"/>
      <c r="G326" s="1"/>
      <c r="H326" s="1" t="s">
        <v>33</v>
      </c>
      <c r="J326" s="1" t="str">
        <f aca="false">D299</f>
        <v>_Z3.1343_0.2345_1_R0_6_1</v>
      </c>
      <c r="K326" s="1" t="s">
        <v>46</v>
      </c>
      <c r="L326" s="1" t="n">
        <v>0</v>
      </c>
      <c r="M326" s="1" t="s">
        <v>39</v>
      </c>
      <c r="P326" s="1" t="str">
        <f aca="false">_xlfn.CONCAT(H326:N326)</f>
        <v>d:Ge/PhaseVol_Z3.1343_0.2345_1_R0_6_1/RotZ     = 0 deg</v>
      </c>
    </row>
    <row r="327" customFormat="false" ht="16.95" hidden="false" customHeight="true" outlineLevel="0" collapsed="false">
      <c r="B327" s="1"/>
      <c r="C327" s="1"/>
      <c r="D327" s="1"/>
      <c r="E327" s="1"/>
      <c r="F327" s="1"/>
      <c r="G327" s="1"/>
      <c r="H327" s="1" t="s">
        <v>29</v>
      </c>
      <c r="J327" s="1" t="str">
        <f aca="false">D299</f>
        <v>_Z3.1343_0.2345_1_R0_6_1</v>
      </c>
      <c r="K327" s="1" t="s">
        <v>47</v>
      </c>
      <c r="P327" s="1" t="str">
        <f aca="false">_xlfn.CONCAT(H327:N327)</f>
        <v>s:Ge/PhaseVol_Z3.1343_0.2345_1_R0_6_1/Color    = "blue"</v>
      </c>
    </row>
    <row r="328" customFormat="false" ht="16.95" hidden="false" customHeight="true" outlineLevel="0" collapsed="false">
      <c r="B328" s="1"/>
      <c r="C328" s="1"/>
      <c r="D328" s="1"/>
      <c r="E328" s="1"/>
      <c r="F328" s="1"/>
      <c r="G328" s="1"/>
      <c r="H328" s="1" t="s">
        <v>48</v>
      </c>
      <c r="J328" s="1" t="str">
        <f aca="false">D299</f>
        <v>_Z3.1343_0.2345_1_R0_6_1</v>
      </c>
      <c r="K328" s="1" t="s">
        <v>49</v>
      </c>
      <c r="L328" s="4" t="n">
        <f aca="false">G301</f>
        <v>7</v>
      </c>
      <c r="P328" s="1" t="str">
        <f aca="false">_xlfn.CONCAT(H328:N328)</f>
        <v>i:Ge/PhaseVol_Z3.1343_0.2345_1_R0_6_1/Zbins    =  7</v>
      </c>
    </row>
    <row r="329" customFormat="false" ht="13.8" hidden="false" customHeight="false" outlineLevel="0" collapsed="false">
      <c r="H329" s="1" t="s">
        <v>48</v>
      </c>
      <c r="J329" s="1" t="str">
        <f aca="false">D299</f>
        <v>_Z3.1343_0.2345_1_R0_6_1</v>
      </c>
      <c r="K329" s="1" t="s">
        <v>50</v>
      </c>
      <c r="L329" s="4" t="n">
        <f aca="false">G302</f>
        <v>1</v>
      </c>
      <c r="P329" s="1" t="str">
        <f aca="false">_xlfn.CONCAT(H329:N329)</f>
        <v>i:Ge/PhaseVol_Z3.1343_0.2345_1_R0_6_1/Rbins    =  1</v>
      </c>
    </row>
    <row r="330" customFormat="false" ht="13.8" hidden="false" customHeight="false" outlineLevel="0" collapsed="false">
      <c r="H330" s="1" t="s">
        <v>48</v>
      </c>
      <c r="J330" s="1" t="str">
        <f aca="false">D299</f>
        <v>_Z3.1343_0.2345_1_R0_6_1</v>
      </c>
      <c r="K330" s="1" t="s">
        <v>51</v>
      </c>
      <c r="L330" s="4" t="n">
        <f aca="false">G303</f>
        <v>1</v>
      </c>
      <c r="P330" s="1" t="str">
        <f aca="false">_xlfn.CONCAT(H330:N330)</f>
        <v>i:Ge/PhaseVol_Z3.1343_0.2345_1_R0_6_1/PhiBins    =  1</v>
      </c>
    </row>
    <row r="332" customFormat="false" ht="13.8" hidden="false" customHeight="false" outlineLevel="0" collapsed="false">
      <c r="C332" s="1" t="s">
        <v>0</v>
      </c>
      <c r="D332" s="1" t="str">
        <f aca="false">(IF(D334&lt;0,"_Zm","_Z"))&amp;ABS(D334)&amp;"_"&amp;E334&amp;"_"&amp;F334&amp;"_R"&amp;D335&amp;"_"&amp;E335&amp;"_"&amp;F335</f>
        <v>_Z3.3688_2.9078_1_R0_6_1</v>
      </c>
      <c r="H332" s="1" t="s">
        <v>1</v>
      </c>
      <c r="J332" s="1" t="str">
        <f aca="false">D332</f>
        <v>_Z3.3688_2.9078_1_R0_6_1</v>
      </c>
      <c r="K332" s="1" t="s">
        <v>2</v>
      </c>
      <c r="P332" s="1" t="str">
        <f aca="false">_xlfn.CONCAT(H332:N332)</f>
        <v>s:Sc/PhaseSpAtPhaseVol_Z3.3688_2.9078_1_R0_6_1/Quantity                    = "PhaseSpace"</v>
      </c>
    </row>
    <row r="333" customFormat="false" ht="13.8" hidden="false" customHeight="false" outlineLevel="0" collapsed="false">
      <c r="B333" s="1"/>
      <c r="C333" s="1" t="s">
        <v>3</v>
      </c>
      <c r="D333" s="1" t="s">
        <v>4</v>
      </c>
      <c r="E333" s="1" t="s">
        <v>5</v>
      </c>
      <c r="F333" s="1" t="s">
        <v>6</v>
      </c>
      <c r="G333" s="1" t="s">
        <v>7</v>
      </c>
      <c r="H333" s="1" t="s">
        <v>8</v>
      </c>
      <c r="J333" s="1" t="str">
        <f aca="false">D332</f>
        <v>_Z3.3688_2.9078_1_R0_6_1</v>
      </c>
      <c r="K333" s="1" t="s">
        <v>9</v>
      </c>
      <c r="P333" s="1" t="str">
        <f aca="false">_xlfn.CONCAT(H333:N333)</f>
        <v>b:Sc/PhaseSpAtPhaseVol_Z3.3688_2.9078_1_R0_6_1/OutputToConsole             = "True"</v>
      </c>
    </row>
    <row r="334" customFormat="false" ht="13.8" hidden="false" customHeight="false" outlineLevel="0" collapsed="false">
      <c r="B334" s="1"/>
      <c r="C334" s="1" t="s">
        <v>10</v>
      </c>
      <c r="D334" s="1" t="n">
        <f aca="false">D301+E301</f>
        <v>3.3688</v>
      </c>
      <c r="E334" s="1" t="n">
        <v>2.9078</v>
      </c>
      <c r="F334" s="1" t="n">
        <v>1</v>
      </c>
      <c r="G334" s="1" t="n">
        <v>7</v>
      </c>
      <c r="H334" s="1" t="s">
        <v>1</v>
      </c>
      <c r="J334" s="1" t="str">
        <f aca="false">D332</f>
        <v>_Z3.3688_2.9078_1_R0_6_1</v>
      </c>
      <c r="K334" s="1" t="s">
        <v>11</v>
      </c>
      <c r="L334" s="1" t="str">
        <f aca="false">D332</f>
        <v>_Z3.3688_2.9078_1_R0_6_1</v>
      </c>
      <c r="M334" s="1" t="s">
        <v>12</v>
      </c>
      <c r="P334" s="1" t="str">
        <f aca="false">_xlfn.CONCAT(H334:N334)</f>
        <v>s:Sc/PhaseSpAtPhaseVol_Z3.3688_2.9078_1_R0_6_1/Surface                     = "PhaseVol_Z3.3688_2.9078_1_R0_6_1/ZMinusSurface"</v>
      </c>
    </row>
    <row r="335" customFormat="false" ht="13.8" hidden="false" customHeight="false" outlineLevel="0" collapsed="false">
      <c r="B335" s="1"/>
      <c r="C335" s="1" t="s">
        <v>13</v>
      </c>
      <c r="D335" s="1" t="n">
        <v>0</v>
      </c>
      <c r="E335" s="1" t="n">
        <f aca="false">E302</f>
        <v>6</v>
      </c>
      <c r="F335" s="1" t="n">
        <v>1</v>
      </c>
      <c r="G335" s="1" t="n">
        <v>1</v>
      </c>
      <c r="H335" s="1" t="s">
        <v>1</v>
      </c>
      <c r="J335" s="1" t="str">
        <f aca="false">D332</f>
        <v>_Z3.3688_2.9078_1_R0_6_1</v>
      </c>
      <c r="K335" s="1" t="s">
        <v>14</v>
      </c>
      <c r="P335" s="1" t="str">
        <f aca="false">_xlfn.CONCAT(H335:N335)</f>
        <v>s:Sc/PhaseSpAtPhaseVol_Z3.3688_2.9078_1_R0_6_1/OutputType                  = "ASCII" # ASCII or Binary</v>
      </c>
    </row>
    <row r="336" customFormat="false" ht="13.8" hidden="false" customHeight="false" outlineLevel="0" collapsed="false">
      <c r="B336" s="1"/>
      <c r="C336" s="1" t="s">
        <v>15</v>
      </c>
      <c r="D336" s="1"/>
      <c r="E336" s="1"/>
      <c r="F336" s="1"/>
      <c r="G336" s="1" t="n">
        <v>1</v>
      </c>
      <c r="H336" s="1" t="s">
        <v>1</v>
      </c>
      <c r="J336" s="1" t="str">
        <f aca="false">D332</f>
        <v>_Z3.3688_2.9078_1_R0_6_1</v>
      </c>
      <c r="K336" s="1" t="s">
        <v>16</v>
      </c>
      <c r="L336" s="1" t="str">
        <f aca="false">D332</f>
        <v>_Z3.3688_2.9078_1_R0_6_1</v>
      </c>
      <c r="M336" s="1" t="s">
        <v>17</v>
      </c>
      <c r="P336" s="1" t="str">
        <f aca="false">_xlfn.CONCAT(H336:N336)</f>
        <v>s:Sc/PhaseSpAtPhaseVol_Z3.3688_2.9078_1_R0_6_1/OutputFile                  = "PhaseSpASCII_Z3.3688_2.9078_1_R0_6_1"</v>
      </c>
    </row>
    <row r="337" customFormat="false" ht="13.8" hidden="false" customHeight="false" outlineLevel="0" collapsed="false">
      <c r="B337" s="1"/>
      <c r="C337" s="1"/>
      <c r="D337" s="1"/>
      <c r="E337" s="1"/>
      <c r="F337" s="1"/>
      <c r="G337" s="1"/>
      <c r="H337" s="1" t="s">
        <v>18</v>
      </c>
      <c r="J337" s="1" t="str">
        <f aca="false">D332</f>
        <v>_Z3.3688_2.9078_1_R0_6_1</v>
      </c>
      <c r="K337" s="1" t="s">
        <v>19</v>
      </c>
      <c r="P337" s="1" t="str">
        <f aca="false">_xlfn.CONCAT(H337:N337)</f>
        <v>i:Sc/PhaseSpAtPhaseVol_Z3.3688_2.9078_1_R0_6_1/OutputBufferSize            = 1000</v>
      </c>
    </row>
    <row r="338" customFormat="false" ht="13.8" hidden="false" customHeight="false" outlineLevel="0" collapsed="false">
      <c r="B338" s="1"/>
      <c r="C338" s="1"/>
      <c r="D338" s="1"/>
      <c r="E338" s="1"/>
      <c r="F338" s="1"/>
      <c r="G338" s="1"/>
      <c r="H338" s="1" t="s">
        <v>20</v>
      </c>
      <c r="J338" s="1" t="str">
        <f aca="false">D332</f>
        <v>_Z3.3688_2.9078_1_R0_6_1</v>
      </c>
      <c r="K338" s="1" t="s">
        <v>21</v>
      </c>
      <c r="P338" s="1" t="str">
        <f aca="false">_xlfn.CONCAT(H338:N338)</f>
        <v># s:Sc/PhaseSpAtPhaseVol_Z3.3688_2.9078_1_R0_6_1/OnlyIncludeParticlesGoing  = "In"</v>
      </c>
    </row>
    <row r="339" customFormat="false" ht="13.8" hidden="false" customHeight="false" outlineLevel="0" collapsed="false">
      <c r="B339" s="1"/>
      <c r="C339" s="1"/>
      <c r="D339" s="1"/>
      <c r="E339" s="1"/>
      <c r="F339" s="1"/>
      <c r="G339" s="1"/>
      <c r="H339" s="1" t="s">
        <v>8</v>
      </c>
      <c r="J339" s="1" t="str">
        <f aca="false">D332</f>
        <v>_Z3.3688_2.9078_1_R0_6_1</v>
      </c>
      <c r="K339" s="1" t="s">
        <v>22</v>
      </c>
      <c r="P339" s="1" t="str">
        <f aca="false">_xlfn.CONCAT(H339:N339)</f>
        <v>b:Sc/PhaseSpAtPhaseVol_Z3.3688_2.9078_1_R0_6_1/IncludeRunID                = "True"</v>
      </c>
    </row>
    <row r="340" customFormat="false" ht="13.8" hidden="false" customHeight="false" outlineLevel="0" collapsed="false">
      <c r="B340" s="1"/>
      <c r="C340" s="1"/>
      <c r="D340" s="1"/>
      <c r="E340" s="1"/>
      <c r="F340" s="1"/>
      <c r="G340" s="1"/>
      <c r="H340" s="1" t="s">
        <v>8</v>
      </c>
      <c r="J340" s="1" t="str">
        <f aca="false">D332</f>
        <v>_Z3.3688_2.9078_1_R0_6_1</v>
      </c>
      <c r="K340" s="1" t="s">
        <v>23</v>
      </c>
      <c r="P340" s="1" t="str">
        <f aca="false">_xlfn.CONCAT(H340:N340)</f>
        <v>b:Sc/PhaseSpAtPhaseVol_Z3.3688_2.9078_1_R0_6_1/IncludeEventID              = "True"</v>
      </c>
    </row>
    <row r="341" customFormat="false" ht="13.8" hidden="false" customHeight="false" outlineLevel="0" collapsed="false">
      <c r="B341" s="1"/>
      <c r="C341" s="1"/>
      <c r="D341" s="1"/>
      <c r="E341" s="1"/>
      <c r="F341" s="1"/>
      <c r="G341" s="1"/>
      <c r="H341" s="1" t="s">
        <v>8</v>
      </c>
      <c r="J341" s="1" t="str">
        <f aca="false">D332</f>
        <v>_Z3.3688_2.9078_1_R0_6_1</v>
      </c>
      <c r="K341" s="1" t="s">
        <v>24</v>
      </c>
      <c r="P341" s="1" t="str">
        <f aca="false">_xlfn.CONCAT(H341:N341)</f>
        <v>b:Sc/PhaseSpAtPhaseVol_Z3.3688_2.9078_1_R0_6_1/IncludeTrackID              = "True"</v>
      </c>
    </row>
    <row r="342" customFormat="false" ht="13.8" hidden="false" customHeight="false" outlineLevel="0" collapsed="false">
      <c r="B342" s="1"/>
      <c r="C342" s="1"/>
      <c r="D342" s="1"/>
      <c r="E342" s="1"/>
      <c r="F342" s="1"/>
      <c r="G342" s="1"/>
      <c r="H342" s="1" t="s">
        <v>8</v>
      </c>
      <c r="J342" s="1" t="str">
        <f aca="false">D332</f>
        <v>_Z3.3688_2.9078_1_R0_6_1</v>
      </c>
      <c r="K342" s="1" t="s">
        <v>25</v>
      </c>
      <c r="P342" s="1" t="str">
        <f aca="false">_xlfn.CONCAT(H342:N342)</f>
        <v>b:Sc/PhaseSpAtPhaseVol_Z3.3688_2.9078_1_R0_6_1/IncludeTime                 = "True"</v>
      </c>
    </row>
    <row r="343" customFormat="false" ht="13.8" hidden="false" customHeight="false" outlineLevel="0" collapsed="false">
      <c r="B343" s="1"/>
      <c r="C343" s="1"/>
      <c r="D343" s="1"/>
      <c r="E343" s="1"/>
      <c r="F343" s="1"/>
      <c r="G343" s="1"/>
      <c r="H343" s="1" t="s">
        <v>8</v>
      </c>
      <c r="J343" s="1" t="str">
        <f aca="false">D332</f>
        <v>_Z3.3688_2.9078_1_R0_6_1</v>
      </c>
      <c r="K343" s="1" t="s">
        <v>26</v>
      </c>
      <c r="P343" s="1" t="str">
        <f aca="false">_xlfn.CONCAT(H343:N343)</f>
        <v>b:Sc/PhaseSpAtPhaseVol_Z3.3688_2.9078_1_R0_6_1/IncludeSeed                 = "True"</v>
      </c>
    </row>
    <row r="344" customFormat="false" ht="13.8" hidden="false" customHeight="false" outlineLevel="0" collapsed="false">
      <c r="B344" s="1"/>
      <c r="C344" s="1"/>
      <c r="D344" s="1"/>
      <c r="E344" s="1"/>
      <c r="F344" s="1"/>
      <c r="G344" s="1"/>
      <c r="H344" s="1" t="s">
        <v>1</v>
      </c>
      <c r="J344" s="1" t="str">
        <f aca="false">D332</f>
        <v>_Z3.3688_2.9078_1_R0_6_1</v>
      </c>
      <c r="K344" s="1" t="s">
        <v>27</v>
      </c>
      <c r="P344" s="1" t="str">
        <f aca="false">_xlfn.CONCAT(H344:N344)</f>
        <v>s:Sc/PhaseSpAtPhaseVol_Z3.3688_2.9078_1_R0_6_1/IfOutputFileAlreadyExists   = "Overwrite" # Exit, Overwrite or Increment</v>
      </c>
    </row>
    <row r="345" customFormat="false" ht="13.8" hidden="false" customHeight="false" outlineLevel="0" collapsed="false">
      <c r="B345" s="1"/>
      <c r="C345" s="1"/>
      <c r="D345" s="1"/>
      <c r="E345" s="1"/>
      <c r="F345" s="1"/>
      <c r="G345" s="1"/>
      <c r="H345" s="1" t="s">
        <v>8</v>
      </c>
      <c r="J345" s="1" t="str">
        <f aca="false">D332</f>
        <v>_Z3.3688_2.9078_1_R0_6_1</v>
      </c>
      <c r="K345" s="1" t="s">
        <v>28</v>
      </c>
      <c r="P345" s="1" t="str">
        <f aca="false">_xlfn.CONCAT(H345:N345)</f>
        <v>b:Sc/PhaseSpAtPhaseVol_Z3.3688_2.9078_1_R0_6_1/OutputAfterRun              = "True"</v>
      </c>
    </row>
    <row r="346" customFormat="false" ht="13.8" hidden="false" customHeight="false" outlineLevel="0" collapsed="false">
      <c r="B346" s="1"/>
      <c r="C346" s="1"/>
      <c r="D346" s="1"/>
      <c r="E346" s="1"/>
      <c r="F346" s="1"/>
      <c r="G346" s="1"/>
      <c r="H346" s="1" t="s">
        <v>29</v>
      </c>
      <c r="J346" s="1" t="str">
        <f aca="false">D332</f>
        <v>_Z3.3688_2.9078_1_R0_6_1</v>
      </c>
      <c r="K346" s="1" t="s">
        <v>30</v>
      </c>
      <c r="P346" s="1" t="str">
        <f aca="false">_xlfn.CONCAT(H346:N346)</f>
        <v>s:Ge/PhaseVol_Z3.3688_2.9078_1_R0_6_1/Parent     = "World"</v>
      </c>
    </row>
    <row r="347" customFormat="false" ht="13.8" hidden="false" customHeight="false" outlineLevel="0" collapsed="false">
      <c r="B347" s="1"/>
      <c r="C347" s="1"/>
      <c r="D347" s="1"/>
      <c r="E347" s="1"/>
      <c r="F347" s="1"/>
      <c r="G347" s="1"/>
      <c r="H347" s="1" t="s">
        <v>29</v>
      </c>
      <c r="J347" s="1" t="str">
        <f aca="false">D332</f>
        <v>_Z3.3688_2.9078_1_R0_6_1</v>
      </c>
      <c r="K347" s="1" t="s">
        <v>31</v>
      </c>
      <c r="P347" s="1" t="str">
        <f aca="false">_xlfn.CONCAT(H347:N347)</f>
        <v>s:Ge/PhaseVol_Z3.3688_2.9078_1_R0_6_1/Type       =  "TsCylinder"</v>
      </c>
    </row>
    <row r="348" customFormat="false" ht="13.8" hidden="false" customHeight="false" outlineLevel="0" collapsed="false">
      <c r="B348" s="1"/>
      <c r="C348" s="1"/>
      <c r="D348" s="1"/>
      <c r="E348" s="1"/>
      <c r="F348" s="1"/>
      <c r="G348" s="1"/>
      <c r="H348" s="1" t="s">
        <v>29</v>
      </c>
      <c r="J348" s="1" t="str">
        <f aca="false">D332</f>
        <v>_Z3.3688_2.9078_1_R0_6_1</v>
      </c>
      <c r="K348" s="1" t="s">
        <v>32</v>
      </c>
      <c r="P348" s="1" t="str">
        <f aca="false">_xlfn.CONCAT(H348:N348)</f>
        <v>s:Ge/PhaseVol_Z3.3688_2.9078_1_R0_6_1/Material   = "G4_WATER"</v>
      </c>
    </row>
    <row r="349" customFormat="false" ht="13.8" hidden="false" customHeight="false" outlineLevel="0" collapsed="false">
      <c r="B349" s="1"/>
      <c r="C349" s="1"/>
      <c r="D349" s="1"/>
      <c r="E349" s="1"/>
      <c r="F349" s="1"/>
      <c r="G349" s="1"/>
      <c r="H349" s="1" t="s">
        <v>33</v>
      </c>
      <c r="J349" s="1" t="str">
        <f aca="false">D332</f>
        <v>_Z3.3688_2.9078_1_R0_6_1</v>
      </c>
      <c r="K349" s="1" t="s">
        <v>34</v>
      </c>
      <c r="L349" s="1" t="n">
        <f aca="false">D335+E335*(F335 -1)</f>
        <v>0</v>
      </c>
      <c r="M349" s="1" t="s">
        <v>35</v>
      </c>
      <c r="P349" s="1" t="str">
        <f aca="false">_xlfn.CONCAT(H349:N349)</f>
        <v>d:Ge/PhaseVol_Z3.3688_2.9078_1_R0_6_1/Rmin =  0 cm</v>
      </c>
    </row>
    <row r="350" customFormat="false" ht="13.8" hidden="false" customHeight="false" outlineLevel="0" collapsed="false">
      <c r="B350" s="1"/>
      <c r="C350" s="1"/>
      <c r="D350" s="1"/>
      <c r="E350" s="1"/>
      <c r="F350" s="1"/>
      <c r="G350" s="1"/>
      <c r="H350" s="1" t="s">
        <v>33</v>
      </c>
      <c r="J350" s="1" t="str">
        <f aca="false">D332</f>
        <v>_Z3.3688_2.9078_1_R0_6_1</v>
      </c>
      <c r="K350" s="1" t="s">
        <v>36</v>
      </c>
      <c r="L350" s="2" t="n">
        <f aca="false">D335+E335*(F335 )</f>
        <v>6</v>
      </c>
      <c r="M350" s="1" t="s">
        <v>35</v>
      </c>
      <c r="P350" s="1" t="str">
        <f aca="false">_xlfn.CONCAT(H350:N350)</f>
        <v>d:Ge/PhaseVol_Z3.3688_2.9078_1_R0_6_1/Rmax = 6 cm</v>
      </c>
    </row>
    <row r="351" customFormat="false" ht="13.8" hidden="false" customHeight="false" outlineLevel="0" collapsed="false">
      <c r="B351" s="1"/>
      <c r="C351" s="1"/>
      <c r="D351" s="1"/>
      <c r="E351" s="1"/>
      <c r="F351" s="1"/>
      <c r="G351" s="1"/>
      <c r="H351" s="1" t="s">
        <v>33</v>
      </c>
      <c r="J351" s="1" t="str">
        <f aca="false">D332</f>
        <v>_Z3.3688_2.9078_1_R0_6_1</v>
      </c>
      <c r="K351" s="1" t="s">
        <v>37</v>
      </c>
      <c r="L351" s="1" t="n">
        <f aca="false">0.5*E334</f>
        <v>1.4539</v>
      </c>
      <c r="M351" s="1" t="s">
        <v>35</v>
      </c>
      <c r="P351" s="1" t="str">
        <f aca="false">_xlfn.CONCAT(H351:N351)</f>
        <v>d:Ge/PhaseVol_Z3.3688_2.9078_1_R0_6_1/HL = 1.4539 cm</v>
      </c>
    </row>
    <row r="352" customFormat="false" ht="16.95" hidden="false" customHeight="true" outlineLevel="0" collapsed="false">
      <c r="B352" s="1"/>
      <c r="C352" s="1"/>
      <c r="D352" s="1"/>
      <c r="E352" s="1"/>
      <c r="F352" s="1"/>
      <c r="G352" s="1"/>
      <c r="H352" s="1" t="s">
        <v>33</v>
      </c>
      <c r="J352" s="1" t="str">
        <f aca="false">D332</f>
        <v>_Z3.3688_2.9078_1_R0_6_1</v>
      </c>
      <c r="K352" s="3" t="s">
        <v>38</v>
      </c>
      <c r="L352" s="1" t="n">
        <v>0</v>
      </c>
      <c r="M352" s="1" t="s">
        <v>39</v>
      </c>
      <c r="P352" s="1" t="str">
        <f aca="false">_xlfn.CONCAT(H352:N352)</f>
        <v>d:Ge/PhaseVol_Z3.3688_2.9078_1_R0_6_1/Sphi     = 0 deg</v>
      </c>
    </row>
    <row r="353" customFormat="false" ht="16.95" hidden="false" customHeight="true" outlineLevel="0" collapsed="false">
      <c r="B353" s="1"/>
      <c r="C353" s="1"/>
      <c r="D353" s="1"/>
      <c r="E353" s="1"/>
      <c r="F353" s="1"/>
      <c r="G353" s="1"/>
      <c r="H353" s="1" t="s">
        <v>33</v>
      </c>
      <c r="I353" s="1"/>
      <c r="J353" s="1" t="str">
        <f aca="false">D332</f>
        <v>_Z3.3688_2.9078_1_R0_6_1</v>
      </c>
      <c r="K353" s="1" t="s">
        <v>40</v>
      </c>
      <c r="L353" s="1" t="n">
        <v>360</v>
      </c>
      <c r="M353" s="1" t="s">
        <v>39</v>
      </c>
      <c r="P353" s="1" t="str">
        <f aca="false">_xlfn.CONCAT(H353:N353)</f>
        <v>d:Ge/PhaseVol_Z3.3688_2.9078_1_R0_6_1/Dphi     = 360 deg</v>
      </c>
    </row>
    <row r="354" customFormat="false" ht="16.95" hidden="false" customHeight="true" outlineLevel="0" collapsed="false">
      <c r="B354" s="1"/>
      <c r="C354" s="1"/>
      <c r="D354" s="1"/>
      <c r="E354" s="1"/>
      <c r="F354" s="1"/>
      <c r="G354" s="1"/>
      <c r="H354" s="1" t="s">
        <v>33</v>
      </c>
      <c r="J354" s="1" t="str">
        <f aca="false">D332</f>
        <v>_Z3.3688_2.9078_1_R0_6_1</v>
      </c>
      <c r="K354" s="1" t="s">
        <v>41</v>
      </c>
      <c r="L354" s="1" t="n">
        <v>0</v>
      </c>
      <c r="M354" s="1" t="s">
        <v>35</v>
      </c>
      <c r="P354" s="1" t="str">
        <f aca="false">_xlfn.CONCAT(H354:N354)</f>
        <v>d:Ge/PhaseVol_Z3.3688_2.9078_1_R0_6_1/TransX   =  0 cm</v>
      </c>
    </row>
    <row r="355" customFormat="false" ht="16.95" hidden="false" customHeight="true" outlineLevel="0" collapsed="false">
      <c r="B355" s="1"/>
      <c r="C355" s="1"/>
      <c r="D355" s="1"/>
      <c r="E355" s="1"/>
      <c r="F355" s="1"/>
      <c r="G355" s="1"/>
      <c r="H355" s="1" t="s">
        <v>33</v>
      </c>
      <c r="J355" s="1" t="str">
        <f aca="false">D332</f>
        <v>_Z3.3688_2.9078_1_R0_6_1</v>
      </c>
      <c r="K355" s="1" t="s">
        <v>42</v>
      </c>
      <c r="L355" s="1" t="n">
        <v>0</v>
      </c>
      <c r="M355" s="1" t="s">
        <v>35</v>
      </c>
      <c r="P355" s="1" t="str">
        <f aca="false">_xlfn.CONCAT(H355:N355)</f>
        <v>d:Ge/PhaseVol_Z3.3688_2.9078_1_R0_6_1/TransY   =  0 cm</v>
      </c>
    </row>
    <row r="356" customFormat="false" ht="16.95" hidden="false" customHeight="true" outlineLevel="0" collapsed="false">
      <c r="A356" s="1"/>
      <c r="B356" s="1"/>
      <c r="C356" s="1"/>
      <c r="D356" s="1"/>
      <c r="E356" s="1"/>
      <c r="F356" s="1"/>
      <c r="G356" s="1"/>
      <c r="H356" s="1" t="s">
        <v>33</v>
      </c>
      <c r="J356" s="1" t="str">
        <f aca="false">D332</f>
        <v>_Z3.3688_2.9078_1_R0_6_1</v>
      </c>
      <c r="K356" s="1" t="s">
        <v>43</v>
      </c>
      <c r="L356" s="1" t="n">
        <f aca="false">-1*(D334-0.5*E334+E334*(F334))</f>
        <v>-4.8227</v>
      </c>
      <c r="M356" s="1" t="s">
        <v>35</v>
      </c>
      <c r="P356" s="1" t="str">
        <f aca="false">_xlfn.CONCAT(H356:N356)</f>
        <v>d:Ge/PhaseVol_Z3.3688_2.9078_1_R0_6_1/TransZ   =  -4.8227 cm</v>
      </c>
    </row>
    <row r="357" customFormat="false" ht="16.95" hidden="false" customHeight="true" outlineLevel="0" collapsed="false">
      <c r="B357" s="1"/>
      <c r="C357" s="1"/>
      <c r="D357" s="1"/>
      <c r="E357" s="1"/>
      <c r="F357" s="1"/>
      <c r="G357" s="1"/>
      <c r="H357" s="1" t="s">
        <v>33</v>
      </c>
      <c r="J357" s="1" t="str">
        <f aca="false">D332</f>
        <v>_Z3.3688_2.9078_1_R0_6_1</v>
      </c>
      <c r="K357" s="1" t="s">
        <v>44</v>
      </c>
      <c r="L357" s="1" t="n">
        <v>0</v>
      </c>
      <c r="M357" s="1" t="s">
        <v>39</v>
      </c>
      <c r="P357" s="1" t="str">
        <f aca="false">_xlfn.CONCAT(H357:N357)</f>
        <v>d:Ge/PhaseVol_Z3.3688_2.9078_1_R0_6_1/RotX     = 0 deg</v>
      </c>
    </row>
    <row r="358" customFormat="false" ht="16.95" hidden="false" customHeight="true" outlineLevel="0" collapsed="false">
      <c r="B358" s="1"/>
      <c r="C358" s="1"/>
      <c r="D358" s="1"/>
      <c r="E358" s="1"/>
      <c r="F358" s="1"/>
      <c r="G358" s="1"/>
      <c r="H358" s="1" t="s">
        <v>33</v>
      </c>
      <c r="J358" s="1" t="str">
        <f aca="false">D332</f>
        <v>_Z3.3688_2.9078_1_R0_6_1</v>
      </c>
      <c r="K358" s="1" t="s">
        <v>45</v>
      </c>
      <c r="L358" s="1" t="n">
        <v>0</v>
      </c>
      <c r="M358" s="1" t="s">
        <v>39</v>
      </c>
      <c r="P358" s="1" t="str">
        <f aca="false">_xlfn.CONCAT(H358:N358)</f>
        <v>d:Ge/PhaseVol_Z3.3688_2.9078_1_R0_6_1/RotY     =  0 deg</v>
      </c>
    </row>
    <row r="359" customFormat="false" ht="16.95" hidden="false" customHeight="true" outlineLevel="0" collapsed="false">
      <c r="B359" s="1"/>
      <c r="C359" s="1"/>
      <c r="D359" s="1"/>
      <c r="E359" s="1"/>
      <c r="F359" s="1"/>
      <c r="G359" s="1"/>
      <c r="H359" s="1" t="s">
        <v>33</v>
      </c>
      <c r="J359" s="1" t="str">
        <f aca="false">D332</f>
        <v>_Z3.3688_2.9078_1_R0_6_1</v>
      </c>
      <c r="K359" s="1" t="s">
        <v>46</v>
      </c>
      <c r="L359" s="1" t="n">
        <v>0</v>
      </c>
      <c r="M359" s="1" t="s">
        <v>39</v>
      </c>
      <c r="P359" s="1" t="str">
        <f aca="false">_xlfn.CONCAT(H359:N359)</f>
        <v>d:Ge/PhaseVol_Z3.3688_2.9078_1_R0_6_1/RotZ     = 0 deg</v>
      </c>
    </row>
    <row r="360" customFormat="false" ht="16.95" hidden="false" customHeight="true" outlineLevel="0" collapsed="false">
      <c r="B360" s="1"/>
      <c r="C360" s="1"/>
      <c r="D360" s="1"/>
      <c r="E360" s="1"/>
      <c r="F360" s="1"/>
      <c r="G360" s="1"/>
      <c r="H360" s="1" t="s">
        <v>29</v>
      </c>
      <c r="J360" s="1" t="str">
        <f aca="false">D332</f>
        <v>_Z3.3688_2.9078_1_R0_6_1</v>
      </c>
      <c r="K360" s="1" t="s">
        <v>47</v>
      </c>
      <c r="P360" s="1" t="str">
        <f aca="false">_xlfn.CONCAT(H360:N360)</f>
        <v>s:Ge/PhaseVol_Z3.3688_2.9078_1_R0_6_1/Color    = "blue"</v>
      </c>
    </row>
    <row r="361" customFormat="false" ht="16.95" hidden="false" customHeight="true" outlineLevel="0" collapsed="false">
      <c r="B361" s="1"/>
      <c r="C361" s="1"/>
      <c r="D361" s="1"/>
      <c r="E361" s="1"/>
      <c r="F361" s="1"/>
      <c r="G361" s="1"/>
      <c r="H361" s="1" t="s">
        <v>48</v>
      </c>
      <c r="J361" s="1" t="str">
        <f aca="false">D332</f>
        <v>_Z3.3688_2.9078_1_R0_6_1</v>
      </c>
      <c r="K361" s="1" t="s">
        <v>49</v>
      </c>
      <c r="L361" s="4" t="n">
        <f aca="false">G334</f>
        <v>7</v>
      </c>
      <c r="P361" s="1" t="str">
        <f aca="false">_xlfn.CONCAT(H361:N361)</f>
        <v>i:Ge/PhaseVol_Z3.3688_2.9078_1_R0_6_1/Zbins    =  7</v>
      </c>
    </row>
    <row r="362" customFormat="false" ht="13.8" hidden="false" customHeight="false" outlineLevel="0" collapsed="false">
      <c r="H362" s="1" t="s">
        <v>48</v>
      </c>
      <c r="J362" s="1" t="str">
        <f aca="false">D332</f>
        <v>_Z3.3688_2.9078_1_R0_6_1</v>
      </c>
      <c r="K362" s="1" t="s">
        <v>50</v>
      </c>
      <c r="L362" s="4" t="n">
        <f aca="false">G335</f>
        <v>1</v>
      </c>
      <c r="P362" s="1" t="str">
        <f aca="false">_xlfn.CONCAT(H362:N362)</f>
        <v>i:Ge/PhaseVol_Z3.3688_2.9078_1_R0_6_1/Rbins    =  1</v>
      </c>
    </row>
    <row r="363" customFormat="false" ht="13.8" hidden="false" customHeight="false" outlineLevel="0" collapsed="false">
      <c r="H363" s="1" t="s">
        <v>48</v>
      </c>
      <c r="J363" s="1" t="str">
        <f aca="false">D332</f>
        <v>_Z3.3688_2.9078_1_R0_6_1</v>
      </c>
      <c r="K363" s="1" t="s">
        <v>51</v>
      </c>
      <c r="L363" s="4" t="n">
        <f aca="false">G336</f>
        <v>1</v>
      </c>
      <c r="P363" s="1" t="str">
        <f aca="false">_xlfn.CONCAT(H363:N363)</f>
        <v>i:Ge/PhaseVol_Z3.3688_2.9078_1_R0_6_1/PhiBins    =  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2024-04-29T12:57:21Z</dcterms:modified>
  <cp:revision>135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