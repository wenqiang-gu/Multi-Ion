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<sst xmlns="http://schemas.openxmlformats.org/spreadsheetml/2006/main" count="395" uniqueCount="47">
  <si>
    <t xml:space="preserve">ID</t>
  </si>
  <si>
    <t xml:space="preserve">s:Sc/PhaseSpAtPhaseVol</t>
  </si>
  <si>
    <t xml:space="preserve">/Quantity                    = "PhaseSpace"</t>
  </si>
  <si>
    <t xml:space="preserve">cm, deg</t>
  </si>
  <si>
    <t xml:space="preserve">start</t>
  </si>
  <si>
    <t xml:space="preserve">d</t>
  </si>
  <si>
    <t xml:space="preserve">index</t>
  </si>
  <si>
    <t xml:space="preserve">b:Sc/PhaseSpAtPhaseVol</t>
  </si>
  <si>
    <t xml:space="preserve">/OutputToConsole             = "True"</t>
  </si>
  <si>
    <t xml:space="preserve">z</t>
  </si>
  <si>
    <t xml:space="preserve">/Surface                     = "PhaseVol</t>
  </si>
  <si>
    <t xml:space="preserve">/ZMinusSurface"</t>
  </si>
  <si>
    <t xml:space="preserve">r</t>
  </si>
  <si>
    <t xml:space="preserve">/OutputType                  = "ASCII" # ASCII or Binary</t>
  </si>
  <si>
    <t xml:space="preserve">phi</t>
  </si>
  <si>
    <t xml:space="preserve">/OutputFile                  = "PhaseSpASCII</t>
  </si>
  <si>
    <t xml:space="preserve">"</t>
  </si>
  <si>
    <t xml:space="preserve">i:Sc/PhaseSpAtPhaseVol</t>
  </si>
  <si>
    <t xml:space="preserve">/OutputBufferSize            = 1000</t>
  </si>
  <si>
    <t xml:space="preserve"># s:Sc/PhaseSpAtPhaseVol</t>
  </si>
  <si>
    <t xml:space="preserve">/OnlyIncludeParticlesGoing  = "In"</t>
  </si>
  <si>
    <t xml:space="preserve">/IncludeRunID                = "True"</t>
  </si>
  <si>
    <t xml:space="preserve">/IncludeEventID              = "True"</t>
  </si>
  <si>
    <t xml:space="preserve">/IncludeTrackID              = "True"</t>
  </si>
  <si>
    <t xml:space="preserve">/IncludeTime                 = "True"</t>
  </si>
  <si>
    <t xml:space="preserve">/IncludeSeed                 = "True"</t>
  </si>
  <si>
    <t xml:space="preserve">/IfOutputFileAlreadyExists   = "Overwrite" # Exit, Overwrite or Increment</t>
  </si>
  <si>
    <t xml:space="preserve">/OutputAfterRun              = "True"</t>
  </si>
  <si>
    <t xml:space="preserve">s:Ge/PhaseVol</t>
  </si>
  <si>
    <t xml:space="preserve">/Parent     = "World"</t>
  </si>
  <si>
    <t xml:space="preserve">/Type       =  "TsCylinder"</t>
  </si>
  <si>
    <t xml:space="preserve">/Material   = "G4_WATER"</t>
  </si>
  <si>
    <t xml:space="preserve">d:Ge/PhaseVol</t>
  </si>
  <si>
    <t xml:space="preserve">/Rmin =  </t>
  </si>
  <si>
    <t xml:space="preserve"> cm</t>
  </si>
  <si>
    <t xml:space="preserve">/Rmax = </t>
  </si>
  <si>
    <t xml:space="preserve">/HL = </t>
  </si>
  <si>
    <r>
      <rPr>
        <sz val="11"/>
        <rFont val="Arial"/>
        <family val="2"/>
        <charset val="1"/>
      </rPr>
      <t xml:space="preserve">/</t>
    </r>
    <r>
      <rPr>
        <sz val="11"/>
        <rFont val="Calibri"/>
        <family val="0"/>
        <charset val="1"/>
      </rPr>
      <t xml:space="preserve">Sphi     = </t>
    </r>
  </si>
  <si>
    <t xml:space="preserve"> deg</t>
  </si>
  <si>
    <t xml:space="preserve">/Dphi     = </t>
  </si>
  <si>
    <t xml:space="preserve">/TransX   =  </t>
  </si>
  <si>
    <t xml:space="preserve">/TransY   =  </t>
  </si>
  <si>
    <t xml:space="preserve">/TransZ   =  </t>
  </si>
  <si>
    <t xml:space="preserve">/RotX     = </t>
  </si>
  <si>
    <t xml:space="preserve">/RotY     =  </t>
  </si>
  <si>
    <t xml:space="preserve">/RotZ     = </t>
  </si>
  <si>
    <t xml:space="preserve">/Color    = "blue"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</si>
</sst>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150"/>
  <sheetViews>
    <sheetView showFormulas="false" showGridLines="true" showRowColHeaders="true" showZeros="true" rightToLeft="false" tabSelected="true" showOutlineSymbols="true" defaultGridColor="true" view="normal" topLeftCell="A130" colorId="64" zoomScale="100" zoomScaleNormal="100" zoomScalePageLayoutView="100" workbookViewId="0">
      <selection pane="topLeft" activeCell="L146" activeCellId="0" sqref="L146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C2" s="1" t="s">
        <v>0</v>
      </c>
      <c r="D2" s="1" t="str">
        <f aca="false">(IF(D4&lt;0,"_Zm","_Z"))&amp;ABS(D4)&amp;"_"&amp;E4&amp;"_"&amp;F4&amp;"_R"&amp;D5&amp;"_"&amp;E5&amp;"_"&amp;F5</f>
        <v>_Z0_1_2_R0_1_1</v>
      </c>
      <c r="H2" s="1" t="s">
        <v>1</v>
      </c>
      <c r="J2" s="1" t="str">
        <f aca="false">D2</f>
        <v>_Z0_1_2_R0_1_1</v>
      </c>
      <c r="K2" s="1" t="s">
        <v>2</v>
      </c>
      <c r="P2" s="1" t="str">
        <f aca="false">_xlfn.CONCAT(H2:N2)</f>
        <v>s:Sc/PhaseSpAtPhaseVol_Z0_1_2_R0_1_1/Quantity                    = "PhaseSpace"</v>
      </c>
    </row>
    <row r="3" customFormat="false" ht="14.9" hidden="false" customHeight="false" outlineLevel="0" collapsed="false">
      <c r="B3" s="1"/>
      <c r="C3" s="1" t="s">
        <v>3</v>
      </c>
      <c r="D3" s="1" t="s">
        <v>4</v>
      </c>
      <c r="E3" s="1" t="s">
        <v>5</v>
      </c>
      <c r="F3" s="1" t="s">
        <v>6</v>
      </c>
      <c r="G3" s="1"/>
      <c r="H3" s="1" t="s">
        <v>7</v>
      </c>
      <c r="J3" s="1" t="str">
        <f aca="false">D2</f>
        <v>_Z0_1_2_R0_1_1</v>
      </c>
      <c r="K3" s="1" t="s">
        <v>8</v>
      </c>
      <c r="P3" s="1" t="str">
        <f aca="false">_xlfn.CONCAT(H3:N3)</f>
        <v>b:Sc/PhaseSpAtPhaseVol_Z0_1_2_R0_1_1/OutputToConsole             = "True"</v>
      </c>
    </row>
    <row r="4" customFormat="false" ht="13.8" hidden="false" customHeight="false" outlineLevel="0" collapsed="false">
      <c r="B4" s="1"/>
      <c r="C4" s="1" t="s">
        <v>9</v>
      </c>
      <c r="D4" s="1" t="n">
        <v>0</v>
      </c>
      <c r="E4" s="1" t="n">
        <v>1</v>
      </c>
      <c r="F4" s="1" t="n">
        <v>2</v>
      </c>
      <c r="G4" s="1"/>
      <c r="H4" s="1" t="s">
        <v>1</v>
      </c>
      <c r="J4" s="1" t="str">
        <f aca="false">D2</f>
        <v>_Z0_1_2_R0_1_1</v>
      </c>
      <c r="K4" s="1" t="s">
        <v>10</v>
      </c>
      <c r="L4" s="1" t="str">
        <f aca="false">D2</f>
        <v>_Z0_1_2_R0_1_1</v>
      </c>
      <c r="M4" s="1" t="s">
        <v>11</v>
      </c>
      <c r="P4" s="1" t="str">
        <f aca="false">_xlfn.CONCAT(H4:N4)</f>
        <v>s:Sc/PhaseSpAtPhaseVol_Z0_1_2_R0_1_1/Surface                     = "PhaseVol_Z0_1_2_R0_1_1/ZMinusSurface"</v>
      </c>
    </row>
    <row r="5" customFormat="false" ht="13.8" hidden="false" customHeight="false" outlineLevel="0" collapsed="false">
      <c r="B5" s="1"/>
      <c r="C5" s="1" t="s">
        <v>12</v>
      </c>
      <c r="D5" s="1" t="n">
        <v>0</v>
      </c>
      <c r="E5" s="1" t="n">
        <v>1</v>
      </c>
      <c r="F5" s="1" t="n">
        <v>1</v>
      </c>
      <c r="G5" s="1"/>
      <c r="H5" s="1" t="s">
        <v>1</v>
      </c>
      <c r="J5" s="1" t="str">
        <f aca="false">D2</f>
        <v>_Z0_1_2_R0_1_1</v>
      </c>
      <c r="K5" s="1" t="s">
        <v>13</v>
      </c>
      <c r="P5" s="1" t="str">
        <f aca="false">_xlfn.CONCAT(H5:N5)</f>
        <v>s:Sc/PhaseSpAtPhaseVol_Z0_1_2_R0_1_1/OutputType                  = "ASCII" # ASCII or Binary</v>
      </c>
    </row>
    <row r="6" customFormat="false" ht="13.8" hidden="false" customHeight="false" outlineLevel="0" collapsed="false">
      <c r="B6" s="1"/>
      <c r="C6" s="1" t="s">
        <v>14</v>
      </c>
      <c r="D6" s="1"/>
      <c r="E6" s="1"/>
      <c r="F6" s="1"/>
      <c r="G6" s="1"/>
      <c r="H6" s="1" t="s">
        <v>1</v>
      </c>
      <c r="J6" s="1" t="str">
        <f aca="false">D2</f>
        <v>_Z0_1_2_R0_1_1</v>
      </c>
      <c r="K6" s="1" t="s">
        <v>15</v>
      </c>
      <c r="L6" s="1" t="str">
        <f aca="false">D2</f>
        <v>_Z0_1_2_R0_1_1</v>
      </c>
      <c r="M6" s="1" t="s">
        <v>16</v>
      </c>
      <c r="P6" s="1" t="str">
        <f aca="false">_xlfn.CONCAT(H6:N6)</f>
        <v>s:Sc/PhaseSpAtPhaseVol_Z0_1_2_R0_1_1/OutputFile                  = "PhaseSpASCII_Z0_1_2_R0_1_1"</v>
      </c>
    </row>
    <row r="7" customFormat="false" ht="13.8" hidden="false" customHeight="false" outlineLevel="0" collapsed="false">
      <c r="B7" s="1"/>
      <c r="C7" s="1"/>
      <c r="D7" s="1"/>
      <c r="E7" s="1"/>
      <c r="F7" s="1"/>
      <c r="G7" s="1"/>
      <c r="H7" s="1" t="s">
        <v>17</v>
      </c>
      <c r="J7" s="1" t="str">
        <f aca="false">D2</f>
        <v>_Z0_1_2_R0_1_1</v>
      </c>
      <c r="K7" s="1" t="s">
        <v>18</v>
      </c>
      <c r="P7" s="1" t="str">
        <f aca="false">_xlfn.CONCAT(H7:N7)</f>
        <v>i:Sc/PhaseSpAtPhaseVol_Z0_1_2_R0_1_1/OutputBufferSize            = 1000</v>
      </c>
    </row>
    <row r="8" customFormat="false" ht="13.8" hidden="false" customHeight="false" outlineLevel="0" collapsed="false">
      <c r="B8" s="1"/>
      <c r="C8" s="1"/>
      <c r="D8" s="1"/>
      <c r="E8" s="1"/>
      <c r="F8" s="1"/>
      <c r="G8" s="1"/>
      <c r="H8" s="1" t="s">
        <v>19</v>
      </c>
      <c r="J8" s="1" t="str">
        <f aca="false">D2</f>
        <v>_Z0_1_2_R0_1_1</v>
      </c>
      <c r="K8" s="1" t="s">
        <v>20</v>
      </c>
      <c r="P8" s="1" t="str">
        <f aca="false">_xlfn.CONCAT(H8:N8)</f>
        <v># s:Sc/PhaseSpAtPhaseVol_Z0_1_2_R0_1_1/OnlyIncludeParticlesGoing  = "In"</v>
      </c>
    </row>
    <row r="9" customFormat="false" ht="14.9" hidden="false" customHeight="false" outlineLevel="0" collapsed="false">
      <c r="B9" s="1"/>
      <c r="C9" s="1"/>
      <c r="D9" s="1"/>
      <c r="E9" s="1"/>
      <c r="F9" s="1"/>
      <c r="G9" s="1"/>
      <c r="H9" s="1" t="s">
        <v>7</v>
      </c>
      <c r="J9" s="1" t="str">
        <f aca="false">D2</f>
        <v>_Z0_1_2_R0_1_1</v>
      </c>
      <c r="K9" s="1" t="s">
        <v>21</v>
      </c>
      <c r="P9" s="1" t="str">
        <f aca="false">_xlfn.CONCAT(H9:N9)</f>
        <v>b:Sc/PhaseSpAtPhaseVol_Z0_1_2_R0_1_1/IncludeRunID                = "True"</v>
      </c>
    </row>
    <row r="10" customFormat="false" ht="14.9" hidden="false" customHeight="false" outlineLevel="0" collapsed="false">
      <c r="B10" s="1"/>
      <c r="C10" s="1"/>
      <c r="D10" s="1"/>
      <c r="E10" s="1"/>
      <c r="F10" s="1"/>
      <c r="G10" s="1"/>
      <c r="H10" s="1" t="s">
        <v>7</v>
      </c>
      <c r="J10" s="1" t="str">
        <f aca="false">D2</f>
        <v>_Z0_1_2_R0_1_1</v>
      </c>
      <c r="K10" s="1" t="s">
        <v>22</v>
      </c>
      <c r="P10" s="1" t="str">
        <f aca="false">_xlfn.CONCAT(H10:N10)</f>
        <v>b:Sc/PhaseSpAtPhaseVol_Z0_1_2_R0_1_1/IncludeEventID              = "True"</v>
      </c>
    </row>
    <row r="11" customFormat="false" ht="14.9" hidden="false" customHeight="false" outlineLevel="0" collapsed="false">
      <c r="B11" s="1"/>
      <c r="C11" s="1"/>
      <c r="D11" s="1"/>
      <c r="E11" s="1"/>
      <c r="F11" s="1"/>
      <c r="G11" s="1"/>
      <c r="H11" s="1" t="s">
        <v>7</v>
      </c>
      <c r="J11" s="1" t="str">
        <f aca="false">D2</f>
        <v>_Z0_1_2_R0_1_1</v>
      </c>
      <c r="K11" s="1" t="s">
        <v>23</v>
      </c>
      <c r="P11" s="1" t="str">
        <f aca="false">_xlfn.CONCAT(H11:N11)</f>
        <v>b:Sc/PhaseSpAtPhaseVol_Z0_1_2_R0_1_1/IncludeTrackID              = "True"</v>
      </c>
    </row>
    <row r="12" customFormat="false" ht="14.9" hidden="false" customHeight="false" outlineLevel="0" collapsed="false">
      <c r="B12" s="1"/>
      <c r="C12" s="1"/>
      <c r="D12" s="1"/>
      <c r="E12" s="1"/>
      <c r="F12" s="1"/>
      <c r="G12" s="1"/>
      <c r="H12" s="1" t="s">
        <v>7</v>
      </c>
      <c r="J12" s="1" t="str">
        <f aca="false">D2</f>
        <v>_Z0_1_2_R0_1_1</v>
      </c>
      <c r="K12" s="1" t="s">
        <v>24</v>
      </c>
      <c r="P12" s="1" t="str">
        <f aca="false">_xlfn.CONCAT(H12:N12)</f>
        <v>b:Sc/PhaseSpAtPhaseVol_Z0_1_2_R0_1_1/IncludeTime                 = "True"</v>
      </c>
    </row>
    <row r="13" customFormat="false" ht="14.9" hidden="false" customHeight="false" outlineLevel="0" collapsed="false">
      <c r="B13" s="1"/>
      <c r="C13" s="1"/>
      <c r="D13" s="1"/>
      <c r="E13" s="1"/>
      <c r="F13" s="1"/>
      <c r="G13" s="1"/>
      <c r="H13" s="1" t="s">
        <v>7</v>
      </c>
      <c r="J13" s="1" t="str">
        <f aca="false">D2</f>
        <v>_Z0_1_2_R0_1_1</v>
      </c>
      <c r="K13" s="1" t="s">
        <v>25</v>
      </c>
      <c r="P13" s="1" t="str">
        <f aca="false">_xlfn.CONCAT(H13:N13)</f>
        <v>b:Sc/PhaseSpAtPhaseVol_Z0_1_2_R0_1_1/IncludeSeed                 = "True"</v>
      </c>
    </row>
    <row r="14" customFormat="false" ht="13.8" hidden="false" customHeight="false" outlineLevel="0" collapsed="false">
      <c r="B14" s="1"/>
      <c r="C14" s="1"/>
      <c r="D14" s="1"/>
      <c r="E14" s="1"/>
      <c r="F14" s="1"/>
      <c r="G14" s="1"/>
      <c r="H14" s="1" t="s">
        <v>1</v>
      </c>
      <c r="J14" s="1" t="str">
        <f aca="false">D2</f>
        <v>_Z0_1_2_R0_1_1</v>
      </c>
      <c r="K14" s="1" t="s">
        <v>26</v>
      </c>
      <c r="P14" s="1" t="str">
        <f aca="false">_xlfn.CONCAT(H14:N14)</f>
        <v>s:Sc/PhaseSpAtPhaseVol_Z0_1_2_R0_1_1/IfOutputFileAlreadyExists   = "Overwrite" # Exit, Overwrite or Increment</v>
      </c>
    </row>
    <row r="15" customFormat="false" ht="14.9" hidden="false" customHeight="false" outlineLevel="0" collapsed="false">
      <c r="B15" s="1"/>
      <c r="C15" s="1"/>
      <c r="D15" s="1"/>
      <c r="E15" s="1"/>
      <c r="F15" s="1"/>
      <c r="G15" s="1"/>
      <c r="H15" s="1" t="s">
        <v>7</v>
      </c>
      <c r="J15" s="1" t="str">
        <f aca="false">D2</f>
        <v>_Z0_1_2_R0_1_1</v>
      </c>
      <c r="K15" s="1" t="s">
        <v>27</v>
      </c>
      <c r="P15" s="1" t="str">
        <f aca="false">_xlfn.CONCAT(H15:N15)</f>
        <v>b:Sc/PhaseSpAtPhaseVol_Z0_1_2_R0_1_1/OutputAfterRun              = "True"</v>
      </c>
    </row>
    <row r="16" customFormat="false" ht="13.8" hidden="false" customHeight="false" outlineLevel="0" collapsed="false">
      <c r="B16" s="1"/>
      <c r="C16" s="1"/>
      <c r="D16" s="1"/>
      <c r="E16" s="1"/>
      <c r="F16" s="1"/>
      <c r="G16" s="1"/>
      <c r="H16" s="1" t="s">
        <v>28</v>
      </c>
      <c r="J16" s="1" t="str">
        <f aca="false">D2</f>
        <v>_Z0_1_2_R0_1_1</v>
      </c>
      <c r="K16" s="1" t="s">
        <v>29</v>
      </c>
      <c r="P16" s="1" t="str">
        <f aca="false">_xlfn.CONCAT(H16:N16)</f>
        <v>s:Ge/PhaseVol_Z0_1_2_R0_1_1/Parent     = "World"</v>
      </c>
    </row>
    <row r="17" customFormat="false" ht="13.8" hidden="false" customHeight="false" outlineLevel="0" collapsed="false">
      <c r="B17" s="1"/>
      <c r="C17" s="1"/>
      <c r="D17" s="1"/>
      <c r="E17" s="1"/>
      <c r="F17" s="1"/>
      <c r="G17" s="1"/>
      <c r="H17" s="1" t="s">
        <v>28</v>
      </c>
      <c r="J17" s="1" t="str">
        <f aca="false">D2</f>
        <v>_Z0_1_2_R0_1_1</v>
      </c>
      <c r="K17" s="1" t="s">
        <v>30</v>
      </c>
      <c r="P17" s="1" t="str">
        <f aca="false">_xlfn.CONCAT(H17:N17)</f>
        <v>s:Ge/PhaseVol_Z0_1_2_R0_1_1/Type       =  "TsCylinder"</v>
      </c>
    </row>
    <row r="18" customFormat="false" ht="13.8" hidden="false" customHeight="false" outlineLevel="0" collapsed="false">
      <c r="B18" s="1"/>
      <c r="C18" s="1"/>
      <c r="D18" s="1"/>
      <c r="E18" s="1"/>
      <c r="F18" s="1"/>
      <c r="G18" s="1"/>
      <c r="H18" s="1" t="s">
        <v>28</v>
      </c>
      <c r="J18" s="1" t="str">
        <f aca="false">D2</f>
        <v>_Z0_1_2_R0_1_1</v>
      </c>
      <c r="K18" s="1" t="s">
        <v>31</v>
      </c>
      <c r="P18" s="1" t="str">
        <f aca="false">_xlfn.CONCAT(H18:N18)</f>
        <v>s:Ge/PhaseVol_Z0_1_2_R0_1_1/Material   = "G4_WATER"</v>
      </c>
    </row>
    <row r="19" customFormat="false" ht="13.8" hidden="false" customHeight="false" outlineLevel="0" collapsed="false">
      <c r="B19" s="1"/>
      <c r="C19" s="1"/>
      <c r="D19" s="1"/>
      <c r="E19" s="1"/>
      <c r="F19" s="1"/>
      <c r="G19" s="1"/>
      <c r="H19" s="1" t="s">
        <v>32</v>
      </c>
      <c r="J19" s="1" t="str">
        <f aca="false">D2</f>
        <v>_Z0_1_2_R0_1_1</v>
      </c>
      <c r="K19" s="1" t="s">
        <v>33</v>
      </c>
      <c r="L19" s="1" t="n">
        <f aca="false">D5+E5*(F5 -1)</f>
        <v>0</v>
      </c>
      <c r="M19" s="1" t="s">
        <v>34</v>
      </c>
      <c r="P19" s="1" t="str">
        <f aca="false">_xlfn.CONCAT(H19:N19)</f>
        <v>d:Ge/PhaseVol_Z0_1_2_R0_1_1/Rmin =  0 cm</v>
      </c>
    </row>
    <row r="20" customFormat="false" ht="13.8" hidden="false" customHeight="false" outlineLevel="0" collapsed="false">
      <c r="B20" s="1"/>
      <c r="C20" s="1"/>
      <c r="D20" s="1"/>
      <c r="E20" s="1"/>
      <c r="F20" s="1"/>
      <c r="G20" s="1"/>
      <c r="H20" s="1" t="s">
        <v>32</v>
      </c>
      <c r="J20" s="1" t="str">
        <f aca="false">D2</f>
        <v>_Z0_1_2_R0_1_1</v>
      </c>
      <c r="K20" s="1" t="s">
        <v>35</v>
      </c>
      <c r="L20" s="2" t="n">
        <f aca="false">D5+E5*(F5 )</f>
        <v>1</v>
      </c>
      <c r="M20" s="1" t="s">
        <v>34</v>
      </c>
      <c r="P20" s="1" t="str">
        <f aca="false">_xlfn.CONCAT(H20:N20)</f>
        <v>d:Ge/PhaseVol_Z0_1_2_R0_1_1/Rmax = 1 cm</v>
      </c>
    </row>
    <row r="21" customFormat="false" ht="13.8" hidden="false" customHeight="false" outlineLevel="0" collapsed="false">
      <c r="B21" s="1"/>
      <c r="C21" s="1"/>
      <c r="D21" s="1"/>
      <c r="E21" s="1"/>
      <c r="F21" s="1"/>
      <c r="G21" s="1"/>
      <c r="H21" s="1" t="s">
        <v>32</v>
      </c>
      <c r="J21" s="1" t="str">
        <f aca="false">D2</f>
        <v>_Z0_1_2_R0_1_1</v>
      </c>
      <c r="K21" s="1" t="s">
        <v>36</v>
      </c>
      <c r="L21" s="1" t="n">
        <f aca="false">0.5*E4</f>
        <v>0.5</v>
      </c>
      <c r="M21" s="1" t="s">
        <v>34</v>
      </c>
      <c r="P21" s="1" t="str">
        <f aca="false">_xlfn.CONCAT(H21:N21)</f>
        <v>d:Ge/PhaseVol_Z0_1_2_R0_1_1/HL = 0.5 cm</v>
      </c>
    </row>
    <row r="22" customFormat="false" ht="16.95" hidden="false" customHeight="true" outlineLevel="0" collapsed="false">
      <c r="B22" s="1"/>
      <c r="C22" s="1"/>
      <c r="D22" s="1"/>
      <c r="E22" s="1"/>
      <c r="F22" s="1"/>
      <c r="G22" s="1"/>
      <c r="H22" s="1" t="s">
        <v>32</v>
      </c>
      <c r="J22" s="1" t="str">
        <f aca="false">D2</f>
        <v>_Z0_1_2_R0_1_1</v>
      </c>
      <c r="K22" s="3" t="s">
        <v>37</v>
      </c>
      <c r="L22" s="1" t="n">
        <v>0</v>
      </c>
      <c r="M22" s="1" t="s">
        <v>38</v>
      </c>
      <c r="P22" s="1" t="str">
        <f aca="false">_xlfn.CONCAT(H22:N22)</f>
        <v>d:Ge/PhaseVol_Z0_1_2_R0_1_1/Sphi     = 0 deg</v>
      </c>
    </row>
    <row r="23" customFormat="false" ht="16.95" hidden="false" customHeight="true" outlineLevel="0" collapsed="false">
      <c r="B23" s="1"/>
      <c r="C23" s="1"/>
      <c r="D23" s="1"/>
      <c r="E23" s="1"/>
      <c r="F23" s="1"/>
      <c r="G23" s="1"/>
      <c r="H23" s="1" t="s">
        <v>32</v>
      </c>
      <c r="I23" s="1"/>
      <c r="J23" s="1" t="str">
        <f aca="false">D2</f>
        <v>_Z0_1_2_R0_1_1</v>
      </c>
      <c r="K23" s="1" t="s">
        <v>39</v>
      </c>
      <c r="L23" s="1" t="n">
        <v>360</v>
      </c>
      <c r="M23" s="1" t="s">
        <v>38</v>
      </c>
      <c r="P23" s="1" t="str">
        <f aca="false">_xlfn.CONCAT(H23:N23)</f>
        <v>d:Ge/PhaseVol_Z0_1_2_R0_1_1/Dphi     = 360 deg</v>
      </c>
    </row>
    <row r="24" customFormat="false" ht="16.95" hidden="false" customHeight="true" outlineLevel="0" collapsed="false">
      <c r="B24" s="1"/>
      <c r="C24" s="1"/>
      <c r="D24" s="1"/>
      <c r="E24" s="1"/>
      <c r="F24" s="1"/>
      <c r="G24" s="1"/>
      <c r="H24" s="1" t="s">
        <v>32</v>
      </c>
      <c r="J24" s="1" t="str">
        <f aca="false">D2</f>
        <v>_Z0_1_2_R0_1_1</v>
      </c>
      <c r="K24" s="1" t="s">
        <v>40</v>
      </c>
      <c r="L24" s="1" t="n">
        <v>0</v>
      </c>
      <c r="M24" s="1" t="s">
        <v>34</v>
      </c>
      <c r="P24" s="1" t="str">
        <f aca="false">_xlfn.CONCAT(H24:N24)</f>
        <v>d:Ge/PhaseVol_Z0_1_2_R0_1_1/TransX   =  0 cm</v>
      </c>
    </row>
    <row r="25" customFormat="false" ht="16.95" hidden="false" customHeight="true" outlineLevel="0" collapsed="false">
      <c r="B25" s="1"/>
      <c r="C25" s="1"/>
      <c r="D25" s="1"/>
      <c r="E25" s="1"/>
      <c r="F25" s="1"/>
      <c r="G25" s="1"/>
      <c r="H25" s="1" t="s">
        <v>32</v>
      </c>
      <c r="J25" s="1" t="str">
        <f aca="false">D2</f>
        <v>_Z0_1_2_R0_1_1</v>
      </c>
      <c r="K25" s="1" t="s">
        <v>41</v>
      </c>
      <c r="L25" s="1" t="n">
        <v>0</v>
      </c>
      <c r="M25" s="1" t="s">
        <v>34</v>
      </c>
      <c r="P25" s="1" t="str">
        <f aca="false">_xlfn.CONCAT(H25:N25)</f>
        <v>d:Ge/PhaseVol_Z0_1_2_R0_1_1/TransY   =  0 cm</v>
      </c>
    </row>
    <row r="26" customFormat="false" ht="16.95" hidden="false" customHeight="true" outlineLevel="0" collapsed="false">
      <c r="B26" s="1"/>
      <c r="C26" s="1"/>
      <c r="D26" s="1"/>
      <c r="E26" s="1"/>
      <c r="F26" s="1"/>
      <c r="G26" s="1"/>
      <c r="H26" s="1" t="s">
        <v>32</v>
      </c>
      <c r="J26" s="1" t="str">
        <f aca="false">D2</f>
        <v>_Z0_1_2_R0_1_1</v>
      </c>
      <c r="K26" s="1" t="s">
        <v>42</v>
      </c>
      <c r="L26" s="1" t="n">
        <f aca="false">-1*(D4-0.5*E4+E4*(F4))</f>
        <v>-1.5</v>
      </c>
      <c r="M26" s="1" t="s">
        <v>34</v>
      </c>
      <c r="P26" s="1" t="str">
        <f aca="false">_xlfn.CONCAT(H26:N26)</f>
        <v>d:Ge/PhaseVol_Z0_1_2_R0_1_1/TransZ   =  -1.5 cm</v>
      </c>
    </row>
    <row r="27" customFormat="false" ht="16.95" hidden="false" customHeight="true" outlineLevel="0" collapsed="false">
      <c r="B27" s="1"/>
      <c r="C27" s="1"/>
      <c r="D27" s="1"/>
      <c r="E27" s="1"/>
      <c r="F27" s="1"/>
      <c r="G27" s="1"/>
      <c r="H27" s="1" t="s">
        <v>32</v>
      </c>
      <c r="J27" s="1" t="str">
        <f aca="false">D2</f>
        <v>_Z0_1_2_R0_1_1</v>
      </c>
      <c r="K27" s="1" t="s">
        <v>43</v>
      </c>
      <c r="L27" s="1" t="n">
        <v>0</v>
      </c>
      <c r="M27" s="1" t="s">
        <v>38</v>
      </c>
      <c r="P27" s="1" t="str">
        <f aca="false">_xlfn.CONCAT(H27:N27)</f>
        <v>d:Ge/PhaseVol_Z0_1_2_R0_1_1/RotX     = 0 deg</v>
      </c>
    </row>
    <row r="28" customFormat="false" ht="16.95" hidden="false" customHeight="true" outlineLevel="0" collapsed="false">
      <c r="B28" s="1"/>
      <c r="C28" s="1"/>
      <c r="D28" s="1"/>
      <c r="E28" s="1"/>
      <c r="F28" s="1"/>
      <c r="G28" s="1"/>
      <c r="H28" s="1" t="s">
        <v>32</v>
      </c>
      <c r="J28" s="1" t="str">
        <f aca="false">D2</f>
        <v>_Z0_1_2_R0_1_1</v>
      </c>
      <c r="K28" s="1" t="s">
        <v>44</v>
      </c>
      <c r="L28" s="1" t="n">
        <v>0</v>
      </c>
      <c r="M28" s="1" t="s">
        <v>38</v>
      </c>
      <c r="P28" s="1" t="str">
        <f aca="false">_xlfn.CONCAT(H28:N28)</f>
        <v>d:Ge/PhaseVol_Z0_1_2_R0_1_1/RotY     =  0 deg</v>
      </c>
    </row>
    <row r="29" customFormat="false" ht="16.95" hidden="false" customHeight="true" outlineLevel="0" collapsed="false">
      <c r="B29" s="1"/>
      <c r="C29" s="1"/>
      <c r="D29" s="1"/>
      <c r="E29" s="1"/>
      <c r="F29" s="1"/>
      <c r="G29" s="1"/>
      <c r="H29" s="1" t="s">
        <v>32</v>
      </c>
      <c r="J29" s="1" t="str">
        <f aca="false">D2</f>
        <v>_Z0_1_2_R0_1_1</v>
      </c>
      <c r="K29" s="1" t="s">
        <v>45</v>
      </c>
      <c r="L29" s="1" t="n">
        <v>0</v>
      </c>
      <c r="M29" s="1" t="s">
        <v>38</v>
      </c>
      <c r="P29" s="1" t="str">
        <f aca="false">_xlfn.CONCAT(H29:N29)</f>
        <v>d:Ge/PhaseVol_Z0_1_2_R0_1_1/RotZ     = 0 deg</v>
      </c>
    </row>
    <row r="30" customFormat="false" ht="16.95" hidden="false" customHeight="true" outlineLevel="0" collapsed="false">
      <c r="B30" s="1"/>
      <c r="C30" s="1"/>
      <c r="D30" s="1"/>
      <c r="E30" s="1"/>
      <c r="F30" s="1"/>
      <c r="G30" s="1"/>
      <c r="H30" s="1" t="s">
        <v>28</v>
      </c>
      <c r="J30" s="1" t="str">
        <f aca="false">D2</f>
        <v>_Z0_1_2_R0_1_1</v>
      </c>
      <c r="K30" s="1" t="s">
        <v>46</v>
      </c>
      <c r="P30" s="1" t="str">
        <f aca="false">_xlfn.CONCAT(H30:N30)</f>
        <v>s:Ge/PhaseVol_Z0_1_2_R0_1_1/Color    = "blue"</v>
      </c>
    </row>
    <row r="32" customFormat="false" ht="13.8" hidden="false" customHeight="false" outlineLevel="0" collapsed="false">
      <c r="C32" s="1" t="s">
        <v>0</v>
      </c>
      <c r="D32" s="1" t="str">
        <f aca="false">(IF(D34&lt;0,"_Zm","_Z"))&amp;ABS(D34)&amp;"_"&amp;E34&amp;"_"&amp;F34&amp;"_R"&amp;D35&amp;"_"&amp;E35&amp;"_"&amp;F35</f>
        <v>_Z0_1_3_R0_1_1</v>
      </c>
      <c r="H32" s="1" t="s">
        <v>1</v>
      </c>
      <c r="J32" s="1" t="str">
        <f aca="false">D32</f>
        <v>_Z0_1_3_R0_1_1</v>
      </c>
      <c r="K32" s="1" t="s">
        <v>2</v>
      </c>
      <c r="P32" s="1" t="str">
        <f aca="false">_xlfn.CONCAT(H32:N32)</f>
        <v>s:Sc/PhaseSpAtPhaseVol_Z0_1_3_R0_1_1/Quantity                    = "PhaseSpace"</v>
      </c>
    </row>
    <row r="33" customFormat="false" ht="13.8" hidden="false" customHeight="false" outlineLevel="0" collapsed="false">
      <c r="B33" s="1"/>
      <c r="C33" s="1" t="s">
        <v>3</v>
      </c>
      <c r="D33" s="1" t="s">
        <v>4</v>
      </c>
      <c r="E33" s="1" t="s">
        <v>5</v>
      </c>
      <c r="F33" s="1" t="s">
        <v>6</v>
      </c>
      <c r="G33" s="1"/>
      <c r="H33" s="1" t="s">
        <v>7</v>
      </c>
      <c r="J33" s="1" t="str">
        <f aca="false">D32</f>
        <v>_Z0_1_3_R0_1_1</v>
      </c>
      <c r="K33" s="1" t="s">
        <v>8</v>
      </c>
      <c r="P33" s="1" t="str">
        <f aca="false">_xlfn.CONCAT(H33:N33)</f>
        <v>b:Sc/PhaseSpAtPhaseVol_Z0_1_3_R0_1_1/OutputToConsole             = "True"</v>
      </c>
    </row>
    <row r="34" customFormat="false" ht="13.8" hidden="false" customHeight="false" outlineLevel="0" collapsed="false">
      <c r="B34" s="1"/>
      <c r="C34" s="1" t="s">
        <v>9</v>
      </c>
      <c r="D34" s="1" t="n">
        <f aca="false">D4</f>
        <v>0</v>
      </c>
      <c r="E34" s="1" t="n">
        <f aca="false">E4</f>
        <v>1</v>
      </c>
      <c r="F34" s="1" t="n">
        <f aca="false">F4+1</f>
        <v>3</v>
      </c>
      <c r="G34" s="1"/>
      <c r="H34" s="1" t="s">
        <v>1</v>
      </c>
      <c r="J34" s="1" t="str">
        <f aca="false">D32</f>
        <v>_Z0_1_3_R0_1_1</v>
      </c>
      <c r="K34" s="1" t="s">
        <v>10</v>
      </c>
      <c r="L34" s="1" t="str">
        <f aca="false">D32</f>
        <v>_Z0_1_3_R0_1_1</v>
      </c>
      <c r="M34" s="1" t="s">
        <v>11</v>
      </c>
      <c r="P34" s="1" t="str">
        <f aca="false">_xlfn.CONCAT(H34:N34)</f>
        <v>s:Sc/PhaseSpAtPhaseVol_Z0_1_3_R0_1_1/Surface                     = "PhaseVol_Z0_1_3_R0_1_1/ZMinusSurface"</v>
      </c>
    </row>
    <row r="35" customFormat="false" ht="13.8" hidden="false" customHeight="false" outlineLevel="0" collapsed="false">
      <c r="B35" s="1"/>
      <c r="C35" s="1" t="s">
        <v>12</v>
      </c>
      <c r="D35" s="1" t="n">
        <f aca="false">D5</f>
        <v>0</v>
      </c>
      <c r="E35" s="1" t="n">
        <f aca="false">E5</f>
        <v>1</v>
      </c>
      <c r="F35" s="1" t="n">
        <f aca="false">F5</f>
        <v>1</v>
      </c>
      <c r="G35" s="1"/>
      <c r="H35" s="1" t="s">
        <v>1</v>
      </c>
      <c r="J35" s="1" t="str">
        <f aca="false">D32</f>
        <v>_Z0_1_3_R0_1_1</v>
      </c>
      <c r="K35" s="1" t="s">
        <v>13</v>
      </c>
      <c r="P35" s="1" t="str">
        <f aca="false">_xlfn.CONCAT(H35:N35)</f>
        <v>s:Sc/PhaseSpAtPhaseVol_Z0_1_3_R0_1_1/OutputType                  = "ASCII" # ASCII or Binary</v>
      </c>
    </row>
    <row r="36" customFormat="false" ht="13.8" hidden="false" customHeight="false" outlineLevel="0" collapsed="false">
      <c r="B36" s="1"/>
      <c r="C36" s="1" t="s">
        <v>14</v>
      </c>
      <c r="D36" s="1"/>
      <c r="E36" s="1"/>
      <c r="F36" s="1"/>
      <c r="G36" s="1"/>
      <c r="H36" s="1" t="s">
        <v>1</v>
      </c>
      <c r="J36" s="1" t="str">
        <f aca="false">D32</f>
        <v>_Z0_1_3_R0_1_1</v>
      </c>
      <c r="K36" s="1" t="s">
        <v>15</v>
      </c>
      <c r="L36" s="1" t="str">
        <f aca="false">D32</f>
        <v>_Z0_1_3_R0_1_1</v>
      </c>
      <c r="M36" s="1" t="s">
        <v>16</v>
      </c>
      <c r="P36" s="1" t="str">
        <f aca="false">_xlfn.CONCAT(H36:N36)</f>
        <v>s:Sc/PhaseSpAtPhaseVol_Z0_1_3_R0_1_1/OutputFile                  = "PhaseSpASCII_Z0_1_3_R0_1_1"</v>
      </c>
    </row>
    <row r="37" customFormat="false" ht="13.8" hidden="false" customHeight="false" outlineLevel="0" collapsed="false">
      <c r="B37" s="1"/>
      <c r="C37" s="1"/>
      <c r="D37" s="1"/>
      <c r="E37" s="1"/>
      <c r="F37" s="1"/>
      <c r="G37" s="1"/>
      <c r="H37" s="1" t="s">
        <v>17</v>
      </c>
      <c r="J37" s="1" t="str">
        <f aca="false">D32</f>
        <v>_Z0_1_3_R0_1_1</v>
      </c>
      <c r="K37" s="1" t="s">
        <v>18</v>
      </c>
      <c r="P37" s="1" t="str">
        <f aca="false">_xlfn.CONCAT(H37:N37)</f>
        <v>i:Sc/PhaseSpAtPhaseVol_Z0_1_3_R0_1_1/OutputBufferSize            = 1000</v>
      </c>
    </row>
    <row r="38" customFormat="false" ht="13.8" hidden="false" customHeight="false" outlineLevel="0" collapsed="false">
      <c r="B38" s="1"/>
      <c r="C38" s="1"/>
      <c r="D38" s="1"/>
      <c r="E38" s="1"/>
      <c r="F38" s="1"/>
      <c r="G38" s="1"/>
      <c r="H38" s="1" t="s">
        <v>19</v>
      </c>
      <c r="J38" s="1" t="str">
        <f aca="false">D32</f>
        <v>_Z0_1_3_R0_1_1</v>
      </c>
      <c r="K38" s="1" t="s">
        <v>20</v>
      </c>
      <c r="P38" s="1" t="str">
        <f aca="false">_xlfn.CONCAT(H38:N38)</f>
        <v># s:Sc/PhaseSpAtPhaseVol_Z0_1_3_R0_1_1/OnlyIncludeParticlesGoing  = "In"</v>
      </c>
    </row>
    <row r="39" customFormat="false" ht="13.8" hidden="false" customHeight="false" outlineLevel="0" collapsed="false">
      <c r="B39" s="1"/>
      <c r="C39" s="1"/>
      <c r="D39" s="1"/>
      <c r="E39" s="1"/>
      <c r="F39" s="1"/>
      <c r="G39" s="1"/>
      <c r="H39" s="1" t="s">
        <v>7</v>
      </c>
      <c r="J39" s="1" t="str">
        <f aca="false">D32</f>
        <v>_Z0_1_3_R0_1_1</v>
      </c>
      <c r="K39" s="1" t="s">
        <v>21</v>
      </c>
      <c r="P39" s="1" t="str">
        <f aca="false">_xlfn.CONCAT(H39:N39)</f>
        <v>b:Sc/PhaseSpAtPhaseVol_Z0_1_3_R0_1_1/IncludeRunID                = "True"</v>
      </c>
    </row>
    <row r="40" customFormat="false" ht="13.8" hidden="false" customHeight="false" outlineLevel="0" collapsed="false">
      <c r="B40" s="1"/>
      <c r="C40" s="1"/>
      <c r="D40" s="1"/>
      <c r="E40" s="1"/>
      <c r="F40" s="1"/>
      <c r="G40" s="1"/>
      <c r="H40" s="1" t="s">
        <v>7</v>
      </c>
      <c r="J40" s="1" t="str">
        <f aca="false">D32</f>
        <v>_Z0_1_3_R0_1_1</v>
      </c>
      <c r="K40" s="1" t="s">
        <v>22</v>
      </c>
      <c r="P40" s="1" t="str">
        <f aca="false">_xlfn.CONCAT(H40:N40)</f>
        <v>b:Sc/PhaseSpAtPhaseVol_Z0_1_3_R0_1_1/IncludeEventID              = "True"</v>
      </c>
    </row>
    <row r="41" customFormat="false" ht="13.8" hidden="false" customHeight="false" outlineLevel="0" collapsed="false">
      <c r="B41" s="1"/>
      <c r="C41" s="1"/>
      <c r="D41" s="1"/>
      <c r="E41" s="1"/>
      <c r="F41" s="1"/>
      <c r="G41" s="1"/>
      <c r="H41" s="1" t="s">
        <v>7</v>
      </c>
      <c r="J41" s="1" t="str">
        <f aca="false">D32</f>
        <v>_Z0_1_3_R0_1_1</v>
      </c>
      <c r="K41" s="1" t="s">
        <v>23</v>
      </c>
      <c r="P41" s="1" t="str">
        <f aca="false">_xlfn.CONCAT(H41:N41)</f>
        <v>b:Sc/PhaseSpAtPhaseVol_Z0_1_3_R0_1_1/IncludeTrackID              = "True"</v>
      </c>
    </row>
    <row r="42" customFormat="false" ht="13.8" hidden="false" customHeight="false" outlineLevel="0" collapsed="false">
      <c r="B42" s="1"/>
      <c r="C42" s="1"/>
      <c r="D42" s="1"/>
      <c r="E42" s="1"/>
      <c r="F42" s="1"/>
      <c r="G42" s="1"/>
      <c r="H42" s="1" t="s">
        <v>7</v>
      </c>
      <c r="J42" s="1" t="str">
        <f aca="false">D32</f>
        <v>_Z0_1_3_R0_1_1</v>
      </c>
      <c r="K42" s="1" t="s">
        <v>24</v>
      </c>
      <c r="P42" s="1" t="str">
        <f aca="false">_xlfn.CONCAT(H42:N42)</f>
        <v>b:Sc/PhaseSpAtPhaseVol_Z0_1_3_R0_1_1/IncludeTime                 = "True"</v>
      </c>
    </row>
    <row r="43" customFormat="false" ht="13.8" hidden="false" customHeight="false" outlineLevel="0" collapsed="false">
      <c r="B43" s="1"/>
      <c r="C43" s="1"/>
      <c r="D43" s="1"/>
      <c r="E43" s="1"/>
      <c r="F43" s="1"/>
      <c r="G43" s="1"/>
      <c r="H43" s="1" t="s">
        <v>7</v>
      </c>
      <c r="J43" s="1" t="str">
        <f aca="false">D32</f>
        <v>_Z0_1_3_R0_1_1</v>
      </c>
      <c r="K43" s="1" t="s">
        <v>25</v>
      </c>
      <c r="P43" s="1" t="str">
        <f aca="false">_xlfn.CONCAT(H43:N43)</f>
        <v>b:Sc/PhaseSpAtPhaseVol_Z0_1_3_R0_1_1/IncludeSeed                 = "True"</v>
      </c>
    </row>
    <row r="44" customFormat="false" ht="13.8" hidden="false" customHeight="false" outlineLevel="0" collapsed="false">
      <c r="B44" s="1"/>
      <c r="C44" s="1"/>
      <c r="D44" s="1"/>
      <c r="E44" s="1"/>
      <c r="F44" s="1"/>
      <c r="G44" s="1"/>
      <c r="H44" s="1" t="s">
        <v>1</v>
      </c>
      <c r="J44" s="1" t="str">
        <f aca="false">D32</f>
        <v>_Z0_1_3_R0_1_1</v>
      </c>
      <c r="K44" s="1" t="s">
        <v>26</v>
      </c>
      <c r="P44" s="1" t="str">
        <f aca="false">_xlfn.CONCAT(H44:N44)</f>
        <v>s:Sc/PhaseSpAtPhaseVol_Z0_1_3_R0_1_1/IfOutputFileAlreadyExists   = "Overwrite" # Exit, Overwrite or Increment</v>
      </c>
    </row>
    <row r="45" customFormat="false" ht="13.8" hidden="false" customHeight="false" outlineLevel="0" collapsed="false">
      <c r="B45" s="1"/>
      <c r="C45" s="1"/>
      <c r="D45" s="1"/>
      <c r="E45" s="1"/>
      <c r="F45" s="1"/>
      <c r="G45" s="1"/>
      <c r="H45" s="1" t="s">
        <v>7</v>
      </c>
      <c r="J45" s="1" t="str">
        <f aca="false">D32</f>
        <v>_Z0_1_3_R0_1_1</v>
      </c>
      <c r="K45" s="1" t="s">
        <v>27</v>
      </c>
      <c r="P45" s="1" t="str">
        <f aca="false">_xlfn.CONCAT(H45:N45)</f>
        <v>b:Sc/PhaseSpAtPhaseVol_Z0_1_3_R0_1_1/OutputAfterRun              = "True"</v>
      </c>
    </row>
    <row r="46" customFormat="false" ht="13.8" hidden="false" customHeight="false" outlineLevel="0" collapsed="false">
      <c r="B46" s="1"/>
      <c r="C46" s="1"/>
      <c r="D46" s="1"/>
      <c r="E46" s="1"/>
      <c r="F46" s="1"/>
      <c r="G46" s="1"/>
      <c r="H46" s="1" t="s">
        <v>28</v>
      </c>
      <c r="J46" s="1" t="str">
        <f aca="false">D32</f>
        <v>_Z0_1_3_R0_1_1</v>
      </c>
      <c r="K46" s="1" t="s">
        <v>29</v>
      </c>
      <c r="P46" s="1" t="str">
        <f aca="false">_xlfn.CONCAT(H46:N46)</f>
        <v>s:Ge/PhaseVol_Z0_1_3_R0_1_1/Parent     = "World"</v>
      </c>
    </row>
    <row r="47" customFormat="false" ht="13.8" hidden="false" customHeight="false" outlineLevel="0" collapsed="false">
      <c r="B47" s="1"/>
      <c r="C47" s="1"/>
      <c r="D47" s="1"/>
      <c r="E47" s="1"/>
      <c r="F47" s="1"/>
      <c r="G47" s="1"/>
      <c r="H47" s="1" t="s">
        <v>28</v>
      </c>
      <c r="J47" s="1" t="str">
        <f aca="false">D32</f>
        <v>_Z0_1_3_R0_1_1</v>
      </c>
      <c r="K47" s="1" t="s">
        <v>30</v>
      </c>
      <c r="P47" s="1" t="str">
        <f aca="false">_xlfn.CONCAT(H47:N47)</f>
        <v>s:Ge/PhaseVol_Z0_1_3_R0_1_1/Type       =  "TsCylinder"</v>
      </c>
    </row>
    <row r="48" customFormat="false" ht="13.8" hidden="false" customHeight="false" outlineLevel="0" collapsed="false">
      <c r="B48" s="1"/>
      <c r="C48" s="1"/>
      <c r="D48" s="1"/>
      <c r="E48" s="1"/>
      <c r="F48" s="1"/>
      <c r="G48" s="1"/>
      <c r="H48" s="1" t="s">
        <v>28</v>
      </c>
      <c r="J48" s="1" t="str">
        <f aca="false">D32</f>
        <v>_Z0_1_3_R0_1_1</v>
      </c>
      <c r="K48" s="1" t="s">
        <v>31</v>
      </c>
      <c r="P48" s="1" t="str">
        <f aca="false">_xlfn.CONCAT(H48:N48)</f>
        <v>s:Ge/PhaseVol_Z0_1_3_R0_1_1/Material   = "G4_WATER"</v>
      </c>
    </row>
    <row r="49" customFormat="false" ht="13.8" hidden="false" customHeight="false" outlineLevel="0" collapsed="false">
      <c r="B49" s="1"/>
      <c r="C49" s="1"/>
      <c r="D49" s="1"/>
      <c r="E49" s="1"/>
      <c r="F49" s="1"/>
      <c r="G49" s="1"/>
      <c r="H49" s="1" t="s">
        <v>32</v>
      </c>
      <c r="J49" s="1" t="str">
        <f aca="false">D32</f>
        <v>_Z0_1_3_R0_1_1</v>
      </c>
      <c r="K49" s="1" t="s">
        <v>33</v>
      </c>
      <c r="L49" s="1" t="n">
        <f aca="false">D35+E35*(F35 -1)</f>
        <v>0</v>
      </c>
      <c r="M49" s="1" t="s">
        <v>34</v>
      </c>
      <c r="P49" s="1" t="str">
        <f aca="false">_xlfn.CONCAT(H49:N49)</f>
        <v>d:Ge/PhaseVol_Z0_1_3_R0_1_1/Rmin =  0 cm</v>
      </c>
    </row>
    <row r="50" customFormat="false" ht="13.8" hidden="false" customHeight="false" outlineLevel="0" collapsed="false">
      <c r="B50" s="1"/>
      <c r="C50" s="1"/>
      <c r="D50" s="1"/>
      <c r="E50" s="1"/>
      <c r="F50" s="1"/>
      <c r="G50" s="1"/>
      <c r="H50" s="1" t="s">
        <v>32</v>
      </c>
      <c r="J50" s="1" t="str">
        <f aca="false">D32</f>
        <v>_Z0_1_3_R0_1_1</v>
      </c>
      <c r="K50" s="1" t="s">
        <v>35</v>
      </c>
      <c r="L50" s="2" t="n">
        <f aca="false">D35+E35*(F35 )</f>
        <v>1</v>
      </c>
      <c r="M50" s="1" t="s">
        <v>34</v>
      </c>
      <c r="P50" s="1" t="str">
        <f aca="false">_xlfn.CONCAT(H50:N50)</f>
        <v>d:Ge/PhaseVol_Z0_1_3_R0_1_1/Rmax = 1 cm</v>
      </c>
    </row>
    <row r="51" customFormat="false" ht="13.8" hidden="false" customHeight="false" outlineLevel="0" collapsed="false">
      <c r="B51" s="1"/>
      <c r="C51" s="1"/>
      <c r="D51" s="1"/>
      <c r="E51" s="1"/>
      <c r="F51" s="1"/>
      <c r="G51" s="1"/>
      <c r="H51" s="1" t="s">
        <v>32</v>
      </c>
      <c r="J51" s="1" t="str">
        <f aca="false">D32</f>
        <v>_Z0_1_3_R0_1_1</v>
      </c>
      <c r="K51" s="1" t="s">
        <v>36</v>
      </c>
      <c r="L51" s="1" t="n">
        <f aca="false">0.5*E34</f>
        <v>0.5</v>
      </c>
      <c r="M51" s="1" t="s">
        <v>34</v>
      </c>
      <c r="P51" s="1" t="str">
        <f aca="false">_xlfn.CONCAT(H51:N51)</f>
        <v>d:Ge/PhaseVol_Z0_1_3_R0_1_1/HL = 0.5 cm</v>
      </c>
    </row>
    <row r="52" customFormat="false" ht="16.95" hidden="false" customHeight="true" outlineLevel="0" collapsed="false">
      <c r="B52" s="1"/>
      <c r="C52" s="1"/>
      <c r="D52" s="1"/>
      <c r="E52" s="1"/>
      <c r="F52" s="1"/>
      <c r="G52" s="1"/>
      <c r="H52" s="1" t="s">
        <v>32</v>
      </c>
      <c r="J52" s="1" t="str">
        <f aca="false">D32</f>
        <v>_Z0_1_3_R0_1_1</v>
      </c>
      <c r="K52" s="3" t="s">
        <v>37</v>
      </c>
      <c r="L52" s="1" t="n">
        <v>0</v>
      </c>
      <c r="M52" s="1" t="s">
        <v>38</v>
      </c>
      <c r="P52" s="1" t="str">
        <f aca="false">_xlfn.CONCAT(H52:N52)</f>
        <v>d:Ge/PhaseVol_Z0_1_3_R0_1_1/Sphi     = 0 deg</v>
      </c>
    </row>
    <row r="53" customFormat="false" ht="16.95" hidden="false" customHeight="true" outlineLevel="0" collapsed="false">
      <c r="B53" s="1"/>
      <c r="C53" s="1"/>
      <c r="D53" s="1"/>
      <c r="E53" s="1"/>
      <c r="F53" s="1"/>
      <c r="G53" s="1"/>
      <c r="H53" s="1" t="s">
        <v>32</v>
      </c>
      <c r="I53" s="1"/>
      <c r="J53" s="1" t="str">
        <f aca="false">D32</f>
        <v>_Z0_1_3_R0_1_1</v>
      </c>
      <c r="K53" s="1" t="s">
        <v>39</v>
      </c>
      <c r="L53" s="1" t="n">
        <v>360</v>
      </c>
      <c r="M53" s="1" t="s">
        <v>38</v>
      </c>
      <c r="P53" s="1" t="str">
        <f aca="false">_xlfn.CONCAT(H53:N53)</f>
        <v>d:Ge/PhaseVol_Z0_1_3_R0_1_1/Dphi     = 360 deg</v>
      </c>
    </row>
    <row r="54" customFormat="false" ht="16.95" hidden="false" customHeight="true" outlineLevel="0" collapsed="false">
      <c r="B54" s="1"/>
      <c r="C54" s="1"/>
      <c r="D54" s="1"/>
      <c r="E54" s="1"/>
      <c r="F54" s="1"/>
      <c r="G54" s="1"/>
      <c r="H54" s="1" t="s">
        <v>32</v>
      </c>
      <c r="J54" s="1" t="str">
        <f aca="false">D32</f>
        <v>_Z0_1_3_R0_1_1</v>
      </c>
      <c r="K54" s="1" t="s">
        <v>40</v>
      </c>
      <c r="L54" s="1" t="n">
        <v>0</v>
      </c>
      <c r="M54" s="1" t="s">
        <v>34</v>
      </c>
      <c r="P54" s="1" t="str">
        <f aca="false">_xlfn.CONCAT(H54:N54)</f>
        <v>d:Ge/PhaseVol_Z0_1_3_R0_1_1/TransX   =  0 cm</v>
      </c>
    </row>
    <row r="55" customFormat="false" ht="16.95" hidden="false" customHeight="true" outlineLevel="0" collapsed="false">
      <c r="B55" s="1"/>
      <c r="C55" s="1"/>
      <c r="D55" s="1"/>
      <c r="E55" s="1"/>
      <c r="F55" s="1"/>
      <c r="G55" s="1"/>
      <c r="H55" s="1" t="s">
        <v>32</v>
      </c>
      <c r="J55" s="1" t="str">
        <f aca="false">D32</f>
        <v>_Z0_1_3_R0_1_1</v>
      </c>
      <c r="K55" s="1" t="s">
        <v>41</v>
      </c>
      <c r="L55" s="1" t="n">
        <v>0</v>
      </c>
      <c r="M55" s="1" t="s">
        <v>34</v>
      </c>
      <c r="P55" s="1" t="str">
        <f aca="false">_xlfn.CONCAT(H55:N55)</f>
        <v>d:Ge/PhaseVol_Z0_1_3_R0_1_1/TransY   =  0 cm</v>
      </c>
    </row>
    <row r="56" customFormat="false" ht="16.95" hidden="false" customHeight="true" outlineLevel="0" collapsed="false">
      <c r="B56" s="1"/>
      <c r="C56" s="1"/>
      <c r="D56" s="1"/>
      <c r="E56" s="1"/>
      <c r="F56" s="1"/>
      <c r="G56" s="1"/>
      <c r="H56" s="1" t="s">
        <v>32</v>
      </c>
      <c r="J56" s="1" t="str">
        <f aca="false">D32</f>
        <v>_Z0_1_3_R0_1_1</v>
      </c>
      <c r="K56" s="1" t="s">
        <v>42</v>
      </c>
      <c r="L56" s="1" t="n">
        <f aca="false">-1*(D34-0.5*E34+E34*(F34))</f>
        <v>-2.5</v>
      </c>
      <c r="M56" s="1" t="s">
        <v>34</v>
      </c>
      <c r="P56" s="1" t="str">
        <f aca="false">_xlfn.CONCAT(H56:N56)</f>
        <v>d:Ge/PhaseVol_Z0_1_3_R0_1_1/TransZ   =  -2.5 cm</v>
      </c>
    </row>
    <row r="57" customFormat="false" ht="16.95" hidden="false" customHeight="true" outlineLevel="0" collapsed="false">
      <c r="B57" s="1"/>
      <c r="C57" s="1"/>
      <c r="D57" s="1"/>
      <c r="E57" s="1"/>
      <c r="F57" s="1"/>
      <c r="G57" s="1"/>
      <c r="H57" s="1" t="s">
        <v>32</v>
      </c>
      <c r="J57" s="1" t="str">
        <f aca="false">D32</f>
        <v>_Z0_1_3_R0_1_1</v>
      </c>
      <c r="K57" s="1" t="s">
        <v>43</v>
      </c>
      <c r="L57" s="1" t="n">
        <v>0</v>
      </c>
      <c r="M57" s="1" t="s">
        <v>38</v>
      </c>
      <c r="P57" s="1" t="str">
        <f aca="false">_xlfn.CONCAT(H57:N57)</f>
        <v>d:Ge/PhaseVol_Z0_1_3_R0_1_1/RotX     = 0 deg</v>
      </c>
    </row>
    <row r="58" customFormat="false" ht="16.95" hidden="false" customHeight="true" outlineLevel="0" collapsed="false">
      <c r="B58" s="1"/>
      <c r="C58" s="1"/>
      <c r="D58" s="1"/>
      <c r="E58" s="1"/>
      <c r="F58" s="1"/>
      <c r="G58" s="1"/>
      <c r="H58" s="1" t="s">
        <v>32</v>
      </c>
      <c r="J58" s="1" t="str">
        <f aca="false">D32</f>
        <v>_Z0_1_3_R0_1_1</v>
      </c>
      <c r="K58" s="1" t="s">
        <v>44</v>
      </c>
      <c r="L58" s="1" t="n">
        <v>0</v>
      </c>
      <c r="M58" s="1" t="s">
        <v>38</v>
      </c>
      <c r="P58" s="1" t="str">
        <f aca="false">_xlfn.CONCAT(H58:N58)</f>
        <v>d:Ge/PhaseVol_Z0_1_3_R0_1_1/RotY     =  0 deg</v>
      </c>
    </row>
    <row r="59" customFormat="false" ht="16.95" hidden="false" customHeight="true" outlineLevel="0" collapsed="false">
      <c r="B59" s="1"/>
      <c r="C59" s="1"/>
      <c r="D59" s="1"/>
      <c r="E59" s="1"/>
      <c r="F59" s="1"/>
      <c r="G59" s="1"/>
      <c r="H59" s="1" t="s">
        <v>32</v>
      </c>
      <c r="J59" s="1" t="str">
        <f aca="false">D32</f>
        <v>_Z0_1_3_R0_1_1</v>
      </c>
      <c r="K59" s="1" t="s">
        <v>45</v>
      </c>
      <c r="L59" s="1" t="n">
        <v>0</v>
      </c>
      <c r="M59" s="1" t="s">
        <v>38</v>
      </c>
      <c r="P59" s="1" t="str">
        <f aca="false">_xlfn.CONCAT(H59:N59)</f>
        <v>d:Ge/PhaseVol_Z0_1_3_R0_1_1/RotZ     = 0 deg</v>
      </c>
    </row>
    <row r="60" customFormat="false" ht="16.95" hidden="false" customHeight="true" outlineLevel="0" collapsed="false">
      <c r="B60" s="1"/>
      <c r="C60" s="1"/>
      <c r="D60" s="1"/>
      <c r="E60" s="1"/>
      <c r="F60" s="1"/>
      <c r="G60" s="1"/>
      <c r="H60" s="1" t="s">
        <v>28</v>
      </c>
      <c r="J60" s="1" t="str">
        <f aca="false">D32</f>
        <v>_Z0_1_3_R0_1_1</v>
      </c>
      <c r="K60" s="1" t="s">
        <v>46</v>
      </c>
      <c r="P60" s="1" t="str">
        <f aca="false">_xlfn.CONCAT(H60:N60)</f>
        <v>s:Ge/PhaseVol_Z0_1_3_R0_1_1/Color    = "blue"</v>
      </c>
    </row>
    <row r="62" customFormat="false" ht="13.8" hidden="false" customHeight="false" outlineLevel="0" collapsed="false">
      <c r="C62" s="1" t="s">
        <v>0</v>
      </c>
      <c r="D62" s="1" t="str">
        <f aca="false">(IF(D64&lt;0,"_Zm","_Z"))&amp;ABS(D64)&amp;"_"&amp;E64&amp;"_"&amp;F64&amp;"_R"&amp;D65&amp;"_"&amp;E65&amp;"_"&amp;F65</f>
        <v>_Z0_1_4_R0_1_1</v>
      </c>
      <c r="H62" s="1" t="s">
        <v>1</v>
      </c>
      <c r="J62" s="1" t="str">
        <f aca="false">D62</f>
        <v>_Z0_1_4_R0_1_1</v>
      </c>
      <c r="K62" s="1" t="s">
        <v>2</v>
      </c>
      <c r="P62" s="1" t="str">
        <f aca="false">_xlfn.CONCAT(H62:N62)</f>
        <v>s:Sc/PhaseSpAtPhaseVol_Z0_1_4_R0_1_1/Quantity                    = "PhaseSpace"</v>
      </c>
    </row>
    <row r="63" customFormat="false" ht="13.8" hidden="false" customHeight="false" outlineLevel="0" collapsed="false">
      <c r="B63" s="1"/>
      <c r="C63" s="1" t="s">
        <v>3</v>
      </c>
      <c r="D63" s="1" t="s">
        <v>4</v>
      </c>
      <c r="E63" s="1" t="s">
        <v>5</v>
      </c>
      <c r="F63" s="1" t="s">
        <v>6</v>
      </c>
      <c r="G63" s="1"/>
      <c r="H63" s="1" t="s">
        <v>7</v>
      </c>
      <c r="J63" s="1" t="str">
        <f aca="false">D62</f>
        <v>_Z0_1_4_R0_1_1</v>
      </c>
      <c r="K63" s="1" t="s">
        <v>8</v>
      </c>
      <c r="P63" s="1" t="str">
        <f aca="false">_xlfn.CONCAT(H63:N63)</f>
        <v>b:Sc/PhaseSpAtPhaseVol_Z0_1_4_R0_1_1/OutputToConsole             = "True"</v>
      </c>
    </row>
    <row r="64" customFormat="false" ht="13.8" hidden="false" customHeight="false" outlineLevel="0" collapsed="false">
      <c r="B64" s="1"/>
      <c r="C64" s="1" t="s">
        <v>9</v>
      </c>
      <c r="D64" s="1" t="n">
        <f aca="false">D34</f>
        <v>0</v>
      </c>
      <c r="E64" s="1" t="n">
        <f aca="false">E34</f>
        <v>1</v>
      </c>
      <c r="F64" s="1" t="n">
        <f aca="false">F34+1</f>
        <v>4</v>
      </c>
      <c r="G64" s="1"/>
      <c r="H64" s="1" t="s">
        <v>1</v>
      </c>
      <c r="J64" s="1" t="str">
        <f aca="false">D62</f>
        <v>_Z0_1_4_R0_1_1</v>
      </c>
      <c r="K64" s="1" t="s">
        <v>10</v>
      </c>
      <c r="L64" s="1" t="str">
        <f aca="false">D62</f>
        <v>_Z0_1_4_R0_1_1</v>
      </c>
      <c r="M64" s="1" t="s">
        <v>11</v>
      </c>
      <c r="P64" s="1" t="str">
        <f aca="false">_xlfn.CONCAT(H64:N64)</f>
        <v>s:Sc/PhaseSpAtPhaseVol_Z0_1_4_R0_1_1/Surface                     = "PhaseVol_Z0_1_4_R0_1_1/ZMinusSurface"</v>
      </c>
    </row>
    <row r="65" customFormat="false" ht="13.8" hidden="false" customHeight="false" outlineLevel="0" collapsed="false">
      <c r="B65" s="1"/>
      <c r="C65" s="1" t="s">
        <v>12</v>
      </c>
      <c r="D65" s="1" t="n">
        <f aca="false">D35</f>
        <v>0</v>
      </c>
      <c r="E65" s="1" t="n">
        <f aca="false">E35</f>
        <v>1</v>
      </c>
      <c r="F65" s="1" t="n">
        <f aca="false">F35</f>
        <v>1</v>
      </c>
      <c r="G65" s="1"/>
      <c r="H65" s="1" t="s">
        <v>1</v>
      </c>
      <c r="J65" s="1" t="str">
        <f aca="false">D62</f>
        <v>_Z0_1_4_R0_1_1</v>
      </c>
      <c r="K65" s="1" t="s">
        <v>13</v>
      </c>
      <c r="P65" s="1" t="str">
        <f aca="false">_xlfn.CONCAT(H65:N65)</f>
        <v>s:Sc/PhaseSpAtPhaseVol_Z0_1_4_R0_1_1/OutputType                  = "ASCII" # ASCII or Binary</v>
      </c>
    </row>
    <row r="66" customFormat="false" ht="13.8" hidden="false" customHeight="false" outlineLevel="0" collapsed="false">
      <c r="B66" s="1"/>
      <c r="C66" s="1" t="s">
        <v>14</v>
      </c>
      <c r="D66" s="1"/>
      <c r="E66" s="1"/>
      <c r="F66" s="1"/>
      <c r="G66" s="1"/>
      <c r="H66" s="1" t="s">
        <v>1</v>
      </c>
      <c r="J66" s="1" t="str">
        <f aca="false">D62</f>
        <v>_Z0_1_4_R0_1_1</v>
      </c>
      <c r="K66" s="1" t="s">
        <v>15</v>
      </c>
      <c r="L66" s="1" t="str">
        <f aca="false">D62</f>
        <v>_Z0_1_4_R0_1_1</v>
      </c>
      <c r="M66" s="1" t="s">
        <v>16</v>
      </c>
      <c r="P66" s="1" t="str">
        <f aca="false">_xlfn.CONCAT(H66:N66)</f>
        <v>s:Sc/PhaseSpAtPhaseVol_Z0_1_4_R0_1_1/OutputFile                  = "PhaseSpASCII_Z0_1_4_R0_1_1"</v>
      </c>
    </row>
    <row r="67" customFormat="false" ht="13.8" hidden="false" customHeight="false" outlineLevel="0" collapsed="false">
      <c r="B67" s="1"/>
      <c r="C67" s="1"/>
      <c r="D67" s="1"/>
      <c r="E67" s="1"/>
      <c r="F67" s="1"/>
      <c r="G67" s="1"/>
      <c r="H67" s="1" t="s">
        <v>17</v>
      </c>
      <c r="J67" s="1" t="str">
        <f aca="false">D62</f>
        <v>_Z0_1_4_R0_1_1</v>
      </c>
      <c r="K67" s="1" t="s">
        <v>18</v>
      </c>
      <c r="P67" s="1" t="str">
        <f aca="false">_xlfn.CONCAT(H67:N67)</f>
        <v>i:Sc/PhaseSpAtPhaseVol_Z0_1_4_R0_1_1/OutputBufferSize            = 1000</v>
      </c>
    </row>
    <row r="68" customFormat="false" ht="13.8" hidden="false" customHeight="false" outlineLevel="0" collapsed="false">
      <c r="B68" s="1"/>
      <c r="C68" s="1"/>
      <c r="D68" s="1"/>
      <c r="E68" s="1"/>
      <c r="F68" s="1"/>
      <c r="G68" s="1"/>
      <c r="H68" s="1" t="s">
        <v>19</v>
      </c>
      <c r="J68" s="1" t="str">
        <f aca="false">D62</f>
        <v>_Z0_1_4_R0_1_1</v>
      </c>
      <c r="K68" s="1" t="s">
        <v>20</v>
      </c>
      <c r="P68" s="1" t="str">
        <f aca="false">_xlfn.CONCAT(H68:N68)</f>
        <v># s:Sc/PhaseSpAtPhaseVol_Z0_1_4_R0_1_1/OnlyIncludeParticlesGoing  = "In"</v>
      </c>
    </row>
    <row r="69" customFormat="false" ht="13.8" hidden="false" customHeight="false" outlineLevel="0" collapsed="false">
      <c r="B69" s="1"/>
      <c r="C69" s="1"/>
      <c r="D69" s="1"/>
      <c r="E69" s="1"/>
      <c r="F69" s="1"/>
      <c r="G69" s="1"/>
      <c r="H69" s="1" t="s">
        <v>7</v>
      </c>
      <c r="J69" s="1" t="str">
        <f aca="false">D62</f>
        <v>_Z0_1_4_R0_1_1</v>
      </c>
      <c r="K69" s="1" t="s">
        <v>21</v>
      </c>
      <c r="P69" s="1" t="str">
        <f aca="false">_xlfn.CONCAT(H69:N69)</f>
        <v>b:Sc/PhaseSpAtPhaseVol_Z0_1_4_R0_1_1/IncludeRunID                = "True"</v>
      </c>
    </row>
    <row r="70" customFormat="false" ht="13.8" hidden="false" customHeight="false" outlineLevel="0" collapsed="false">
      <c r="B70" s="1"/>
      <c r="C70" s="1"/>
      <c r="D70" s="1"/>
      <c r="E70" s="1"/>
      <c r="F70" s="1"/>
      <c r="G70" s="1"/>
      <c r="H70" s="1" t="s">
        <v>7</v>
      </c>
      <c r="J70" s="1" t="str">
        <f aca="false">D62</f>
        <v>_Z0_1_4_R0_1_1</v>
      </c>
      <c r="K70" s="1" t="s">
        <v>22</v>
      </c>
      <c r="P70" s="1" t="str">
        <f aca="false">_xlfn.CONCAT(H70:N70)</f>
        <v>b:Sc/PhaseSpAtPhaseVol_Z0_1_4_R0_1_1/IncludeEventID              = "True"</v>
      </c>
    </row>
    <row r="71" customFormat="false" ht="13.8" hidden="false" customHeight="false" outlineLevel="0" collapsed="false">
      <c r="B71" s="1"/>
      <c r="C71" s="1"/>
      <c r="D71" s="1"/>
      <c r="E71" s="1"/>
      <c r="F71" s="1"/>
      <c r="G71" s="1"/>
      <c r="H71" s="1" t="s">
        <v>7</v>
      </c>
      <c r="J71" s="1" t="str">
        <f aca="false">D62</f>
        <v>_Z0_1_4_R0_1_1</v>
      </c>
      <c r="K71" s="1" t="s">
        <v>23</v>
      </c>
      <c r="P71" s="1" t="str">
        <f aca="false">_xlfn.CONCAT(H71:N71)</f>
        <v>b:Sc/PhaseSpAtPhaseVol_Z0_1_4_R0_1_1/IncludeTrackID              = "True"</v>
      </c>
    </row>
    <row r="72" customFormat="false" ht="13.8" hidden="false" customHeight="false" outlineLevel="0" collapsed="false">
      <c r="B72" s="1"/>
      <c r="C72" s="1"/>
      <c r="D72" s="1"/>
      <c r="E72" s="1"/>
      <c r="F72" s="1"/>
      <c r="G72" s="1"/>
      <c r="H72" s="1" t="s">
        <v>7</v>
      </c>
      <c r="J72" s="1" t="str">
        <f aca="false">D62</f>
        <v>_Z0_1_4_R0_1_1</v>
      </c>
      <c r="K72" s="1" t="s">
        <v>24</v>
      </c>
      <c r="P72" s="1" t="str">
        <f aca="false">_xlfn.CONCAT(H72:N72)</f>
        <v>b:Sc/PhaseSpAtPhaseVol_Z0_1_4_R0_1_1/IncludeTime                 = "True"</v>
      </c>
    </row>
    <row r="73" customFormat="false" ht="13.8" hidden="false" customHeight="false" outlineLevel="0" collapsed="false">
      <c r="B73" s="1"/>
      <c r="C73" s="1"/>
      <c r="D73" s="1"/>
      <c r="E73" s="1"/>
      <c r="F73" s="1"/>
      <c r="G73" s="1"/>
      <c r="H73" s="1" t="s">
        <v>7</v>
      </c>
      <c r="J73" s="1" t="str">
        <f aca="false">D62</f>
        <v>_Z0_1_4_R0_1_1</v>
      </c>
      <c r="K73" s="1" t="s">
        <v>25</v>
      </c>
      <c r="P73" s="1" t="str">
        <f aca="false">_xlfn.CONCAT(H73:N73)</f>
        <v>b:Sc/PhaseSpAtPhaseVol_Z0_1_4_R0_1_1/IncludeSeed                 = "True"</v>
      </c>
    </row>
    <row r="74" customFormat="false" ht="13.8" hidden="false" customHeight="false" outlineLevel="0" collapsed="false">
      <c r="B74" s="1"/>
      <c r="C74" s="1"/>
      <c r="D74" s="1"/>
      <c r="E74" s="1"/>
      <c r="F74" s="1"/>
      <c r="G74" s="1"/>
      <c r="H74" s="1" t="s">
        <v>1</v>
      </c>
      <c r="J74" s="1" t="str">
        <f aca="false">D62</f>
        <v>_Z0_1_4_R0_1_1</v>
      </c>
      <c r="K74" s="1" t="s">
        <v>26</v>
      </c>
      <c r="P74" s="1" t="str">
        <f aca="false">_xlfn.CONCAT(H74:N74)</f>
        <v>s:Sc/PhaseSpAtPhaseVol_Z0_1_4_R0_1_1/IfOutputFileAlreadyExists   = "Overwrite" # Exit, Overwrite or Increment</v>
      </c>
    </row>
    <row r="75" customFormat="false" ht="13.8" hidden="false" customHeight="false" outlineLevel="0" collapsed="false">
      <c r="B75" s="1"/>
      <c r="C75" s="1"/>
      <c r="D75" s="1"/>
      <c r="E75" s="1"/>
      <c r="F75" s="1"/>
      <c r="G75" s="1"/>
      <c r="H75" s="1" t="s">
        <v>7</v>
      </c>
      <c r="J75" s="1" t="str">
        <f aca="false">D62</f>
        <v>_Z0_1_4_R0_1_1</v>
      </c>
      <c r="K75" s="1" t="s">
        <v>27</v>
      </c>
      <c r="P75" s="1" t="str">
        <f aca="false">_xlfn.CONCAT(H75:N75)</f>
        <v>b:Sc/PhaseSpAtPhaseVol_Z0_1_4_R0_1_1/OutputAfterRun              = "True"</v>
      </c>
    </row>
    <row r="76" customFormat="false" ht="13.8" hidden="false" customHeight="false" outlineLevel="0" collapsed="false">
      <c r="B76" s="1"/>
      <c r="C76" s="1"/>
      <c r="D76" s="1"/>
      <c r="E76" s="1"/>
      <c r="F76" s="1"/>
      <c r="G76" s="1"/>
      <c r="H76" s="1" t="s">
        <v>28</v>
      </c>
      <c r="J76" s="1" t="str">
        <f aca="false">D62</f>
        <v>_Z0_1_4_R0_1_1</v>
      </c>
      <c r="K76" s="1" t="s">
        <v>29</v>
      </c>
      <c r="P76" s="1" t="str">
        <f aca="false">_xlfn.CONCAT(H76:N76)</f>
        <v>s:Ge/PhaseVol_Z0_1_4_R0_1_1/Parent     = "World"</v>
      </c>
    </row>
    <row r="77" customFormat="false" ht="13.8" hidden="false" customHeight="false" outlineLevel="0" collapsed="false">
      <c r="B77" s="1"/>
      <c r="C77" s="1"/>
      <c r="D77" s="1"/>
      <c r="E77" s="1"/>
      <c r="F77" s="1"/>
      <c r="G77" s="1"/>
      <c r="H77" s="1" t="s">
        <v>28</v>
      </c>
      <c r="J77" s="1" t="str">
        <f aca="false">D62</f>
        <v>_Z0_1_4_R0_1_1</v>
      </c>
      <c r="K77" s="1" t="s">
        <v>30</v>
      </c>
      <c r="P77" s="1" t="str">
        <f aca="false">_xlfn.CONCAT(H77:N77)</f>
        <v>s:Ge/PhaseVol_Z0_1_4_R0_1_1/Type       =  "TsCylinder"</v>
      </c>
    </row>
    <row r="78" customFormat="false" ht="13.8" hidden="false" customHeight="false" outlineLevel="0" collapsed="false">
      <c r="B78" s="1"/>
      <c r="C78" s="1"/>
      <c r="D78" s="1"/>
      <c r="E78" s="1"/>
      <c r="F78" s="1"/>
      <c r="G78" s="1"/>
      <c r="H78" s="1" t="s">
        <v>28</v>
      </c>
      <c r="J78" s="1" t="str">
        <f aca="false">D62</f>
        <v>_Z0_1_4_R0_1_1</v>
      </c>
      <c r="K78" s="1" t="s">
        <v>31</v>
      </c>
      <c r="P78" s="1" t="str">
        <f aca="false">_xlfn.CONCAT(H78:N78)</f>
        <v>s:Ge/PhaseVol_Z0_1_4_R0_1_1/Material   = "G4_WATER"</v>
      </c>
    </row>
    <row r="79" customFormat="false" ht="13.8" hidden="false" customHeight="false" outlineLevel="0" collapsed="false">
      <c r="B79" s="1"/>
      <c r="C79" s="1"/>
      <c r="D79" s="1"/>
      <c r="E79" s="1"/>
      <c r="F79" s="1"/>
      <c r="G79" s="1"/>
      <c r="H79" s="1" t="s">
        <v>32</v>
      </c>
      <c r="J79" s="1" t="str">
        <f aca="false">D62</f>
        <v>_Z0_1_4_R0_1_1</v>
      </c>
      <c r="K79" s="1" t="s">
        <v>33</v>
      </c>
      <c r="L79" s="1" t="n">
        <f aca="false">D65+E65*(F65 -1)</f>
        <v>0</v>
      </c>
      <c r="M79" s="1" t="s">
        <v>34</v>
      </c>
      <c r="P79" s="1" t="str">
        <f aca="false">_xlfn.CONCAT(H79:N79)</f>
        <v>d:Ge/PhaseVol_Z0_1_4_R0_1_1/Rmin =  0 cm</v>
      </c>
    </row>
    <row r="80" customFormat="false" ht="13.8" hidden="false" customHeight="false" outlineLevel="0" collapsed="false">
      <c r="B80" s="1"/>
      <c r="C80" s="1"/>
      <c r="D80" s="1"/>
      <c r="E80" s="1"/>
      <c r="F80" s="1"/>
      <c r="G80" s="1"/>
      <c r="H80" s="1" t="s">
        <v>32</v>
      </c>
      <c r="J80" s="1" t="str">
        <f aca="false">D62</f>
        <v>_Z0_1_4_R0_1_1</v>
      </c>
      <c r="K80" s="1" t="s">
        <v>35</v>
      </c>
      <c r="L80" s="2" t="n">
        <f aca="false">D65+E65*(F65 )</f>
        <v>1</v>
      </c>
      <c r="M80" s="1" t="s">
        <v>34</v>
      </c>
      <c r="P80" s="1" t="str">
        <f aca="false">_xlfn.CONCAT(H80:N80)</f>
        <v>d:Ge/PhaseVol_Z0_1_4_R0_1_1/Rmax = 1 cm</v>
      </c>
    </row>
    <row r="81" customFormat="false" ht="13.8" hidden="false" customHeight="false" outlineLevel="0" collapsed="false">
      <c r="B81" s="1"/>
      <c r="C81" s="1"/>
      <c r="D81" s="1"/>
      <c r="E81" s="1"/>
      <c r="F81" s="1"/>
      <c r="G81" s="1"/>
      <c r="H81" s="1" t="s">
        <v>32</v>
      </c>
      <c r="J81" s="1" t="str">
        <f aca="false">D62</f>
        <v>_Z0_1_4_R0_1_1</v>
      </c>
      <c r="K81" s="1" t="s">
        <v>36</v>
      </c>
      <c r="L81" s="1" t="n">
        <f aca="false">0.5*E64</f>
        <v>0.5</v>
      </c>
      <c r="M81" s="1" t="s">
        <v>34</v>
      </c>
      <c r="P81" s="1" t="str">
        <f aca="false">_xlfn.CONCAT(H81:N81)</f>
        <v>d:Ge/PhaseVol_Z0_1_4_R0_1_1/HL = 0.5 cm</v>
      </c>
    </row>
    <row r="82" customFormat="false" ht="16.95" hidden="false" customHeight="true" outlineLevel="0" collapsed="false">
      <c r="B82" s="1"/>
      <c r="C82" s="1"/>
      <c r="D82" s="1"/>
      <c r="E82" s="1"/>
      <c r="F82" s="1"/>
      <c r="G82" s="1"/>
      <c r="H82" s="1" t="s">
        <v>32</v>
      </c>
      <c r="J82" s="1" t="str">
        <f aca="false">D62</f>
        <v>_Z0_1_4_R0_1_1</v>
      </c>
      <c r="K82" s="3" t="s">
        <v>37</v>
      </c>
      <c r="L82" s="1" t="n">
        <v>0</v>
      </c>
      <c r="M82" s="1" t="s">
        <v>38</v>
      </c>
      <c r="P82" s="1" t="str">
        <f aca="false">_xlfn.CONCAT(H82:N82)</f>
        <v>d:Ge/PhaseVol_Z0_1_4_R0_1_1/Sphi     = 0 deg</v>
      </c>
    </row>
    <row r="83" customFormat="false" ht="16.95" hidden="false" customHeight="true" outlineLevel="0" collapsed="false">
      <c r="B83" s="1"/>
      <c r="C83" s="1"/>
      <c r="D83" s="1"/>
      <c r="E83" s="1"/>
      <c r="F83" s="1"/>
      <c r="G83" s="1"/>
      <c r="H83" s="1" t="s">
        <v>32</v>
      </c>
      <c r="I83" s="1"/>
      <c r="J83" s="1" t="str">
        <f aca="false">D62</f>
        <v>_Z0_1_4_R0_1_1</v>
      </c>
      <c r="K83" s="1" t="s">
        <v>39</v>
      </c>
      <c r="L83" s="1" t="n">
        <v>360</v>
      </c>
      <c r="M83" s="1" t="s">
        <v>38</v>
      </c>
      <c r="P83" s="1" t="str">
        <f aca="false">_xlfn.CONCAT(H83:N83)</f>
        <v>d:Ge/PhaseVol_Z0_1_4_R0_1_1/Dphi     = 360 deg</v>
      </c>
    </row>
    <row r="84" customFormat="false" ht="16.95" hidden="false" customHeight="true" outlineLevel="0" collapsed="false">
      <c r="B84" s="1"/>
      <c r="C84" s="1"/>
      <c r="D84" s="1"/>
      <c r="E84" s="1"/>
      <c r="F84" s="1"/>
      <c r="G84" s="1"/>
      <c r="H84" s="1" t="s">
        <v>32</v>
      </c>
      <c r="J84" s="1" t="str">
        <f aca="false">D62</f>
        <v>_Z0_1_4_R0_1_1</v>
      </c>
      <c r="K84" s="1" t="s">
        <v>40</v>
      </c>
      <c r="L84" s="1" t="n">
        <v>0</v>
      </c>
      <c r="M84" s="1" t="s">
        <v>34</v>
      </c>
      <c r="P84" s="1" t="str">
        <f aca="false">_xlfn.CONCAT(H84:N84)</f>
        <v>d:Ge/PhaseVol_Z0_1_4_R0_1_1/TransX   =  0 cm</v>
      </c>
    </row>
    <row r="85" customFormat="false" ht="16.95" hidden="false" customHeight="true" outlineLevel="0" collapsed="false">
      <c r="B85" s="1"/>
      <c r="C85" s="1"/>
      <c r="D85" s="1"/>
      <c r="E85" s="1"/>
      <c r="F85" s="1"/>
      <c r="G85" s="1"/>
      <c r="H85" s="1" t="s">
        <v>32</v>
      </c>
      <c r="J85" s="1" t="str">
        <f aca="false">D62</f>
        <v>_Z0_1_4_R0_1_1</v>
      </c>
      <c r="K85" s="1" t="s">
        <v>41</v>
      </c>
      <c r="L85" s="1" t="n">
        <v>0</v>
      </c>
      <c r="M85" s="1" t="s">
        <v>34</v>
      </c>
      <c r="P85" s="1" t="str">
        <f aca="false">_xlfn.CONCAT(H85:N85)</f>
        <v>d:Ge/PhaseVol_Z0_1_4_R0_1_1/TransY   =  0 cm</v>
      </c>
    </row>
    <row r="86" customFormat="false" ht="16.95" hidden="false" customHeight="true" outlineLevel="0" collapsed="false">
      <c r="B86" s="1"/>
      <c r="C86" s="1"/>
      <c r="D86" s="1"/>
      <c r="E86" s="1"/>
      <c r="F86" s="1"/>
      <c r="G86" s="1"/>
      <c r="H86" s="1" t="s">
        <v>32</v>
      </c>
      <c r="J86" s="1" t="str">
        <f aca="false">D62</f>
        <v>_Z0_1_4_R0_1_1</v>
      </c>
      <c r="K86" s="1" t="s">
        <v>42</v>
      </c>
      <c r="L86" s="1" t="n">
        <f aca="false">-1*(D64-0.5*E64+E64*(F64))</f>
        <v>-3.5</v>
      </c>
      <c r="M86" s="1" t="s">
        <v>34</v>
      </c>
      <c r="P86" s="1" t="str">
        <f aca="false">_xlfn.CONCAT(H86:N86)</f>
        <v>d:Ge/PhaseVol_Z0_1_4_R0_1_1/TransZ   =  -3.5 cm</v>
      </c>
    </row>
    <row r="87" customFormat="false" ht="16.95" hidden="false" customHeight="true" outlineLevel="0" collapsed="false">
      <c r="B87" s="1"/>
      <c r="C87" s="1"/>
      <c r="D87" s="1"/>
      <c r="E87" s="1"/>
      <c r="F87" s="1"/>
      <c r="G87" s="1"/>
      <c r="H87" s="1" t="s">
        <v>32</v>
      </c>
      <c r="J87" s="1" t="str">
        <f aca="false">D62</f>
        <v>_Z0_1_4_R0_1_1</v>
      </c>
      <c r="K87" s="1" t="s">
        <v>43</v>
      </c>
      <c r="L87" s="1" t="n">
        <v>0</v>
      </c>
      <c r="M87" s="1" t="s">
        <v>38</v>
      </c>
      <c r="P87" s="1" t="str">
        <f aca="false">_xlfn.CONCAT(H87:N87)</f>
        <v>d:Ge/PhaseVol_Z0_1_4_R0_1_1/RotX     = 0 deg</v>
      </c>
    </row>
    <row r="88" customFormat="false" ht="16.95" hidden="false" customHeight="true" outlineLevel="0" collapsed="false">
      <c r="B88" s="1"/>
      <c r="C88" s="1"/>
      <c r="D88" s="1"/>
      <c r="E88" s="1"/>
      <c r="F88" s="1"/>
      <c r="G88" s="1"/>
      <c r="H88" s="1" t="s">
        <v>32</v>
      </c>
      <c r="J88" s="1" t="str">
        <f aca="false">D62</f>
        <v>_Z0_1_4_R0_1_1</v>
      </c>
      <c r="K88" s="1" t="s">
        <v>44</v>
      </c>
      <c r="L88" s="1" t="n">
        <v>0</v>
      </c>
      <c r="M88" s="1" t="s">
        <v>38</v>
      </c>
      <c r="P88" s="1" t="str">
        <f aca="false">_xlfn.CONCAT(H88:N88)</f>
        <v>d:Ge/PhaseVol_Z0_1_4_R0_1_1/RotY     =  0 deg</v>
      </c>
    </row>
    <row r="89" customFormat="false" ht="16.95" hidden="false" customHeight="true" outlineLevel="0" collapsed="false">
      <c r="B89" s="1"/>
      <c r="C89" s="1"/>
      <c r="D89" s="1"/>
      <c r="E89" s="1"/>
      <c r="F89" s="1"/>
      <c r="G89" s="1"/>
      <c r="H89" s="1" t="s">
        <v>32</v>
      </c>
      <c r="J89" s="1" t="str">
        <f aca="false">D62</f>
        <v>_Z0_1_4_R0_1_1</v>
      </c>
      <c r="K89" s="1" t="s">
        <v>45</v>
      </c>
      <c r="L89" s="1" t="n">
        <v>0</v>
      </c>
      <c r="M89" s="1" t="s">
        <v>38</v>
      </c>
      <c r="P89" s="1" t="str">
        <f aca="false">_xlfn.CONCAT(H89:N89)</f>
        <v>d:Ge/PhaseVol_Z0_1_4_R0_1_1/RotZ     = 0 deg</v>
      </c>
    </row>
    <row r="90" customFormat="false" ht="16.95" hidden="false" customHeight="true" outlineLevel="0" collapsed="false">
      <c r="B90" s="1"/>
      <c r="C90" s="1"/>
      <c r="D90" s="1"/>
      <c r="E90" s="1"/>
      <c r="F90" s="1"/>
      <c r="G90" s="1"/>
      <c r="H90" s="1" t="s">
        <v>28</v>
      </c>
      <c r="J90" s="1" t="str">
        <f aca="false">D62</f>
        <v>_Z0_1_4_R0_1_1</v>
      </c>
      <c r="K90" s="1" t="s">
        <v>46</v>
      </c>
      <c r="P90" s="1" t="str">
        <f aca="false">_xlfn.CONCAT(H90:N90)</f>
        <v>s:Ge/PhaseVol_Z0_1_4_R0_1_1/Color    = "blue"</v>
      </c>
    </row>
    <row r="92" customFormat="false" ht="13.8" hidden="false" customHeight="false" outlineLevel="0" collapsed="false">
      <c r="C92" s="1" t="s">
        <v>0</v>
      </c>
      <c r="D92" s="1" t="str">
        <f aca="false">(IF(D94&lt;0,"_Zm","_Z"))&amp;ABS(D94)&amp;"_"&amp;E94&amp;"_"&amp;F94&amp;"_R"&amp;D95&amp;"_"&amp;E95&amp;"_"&amp;F95</f>
        <v>_Z0_1_5_R0_1_1</v>
      </c>
      <c r="H92" s="1" t="s">
        <v>1</v>
      </c>
      <c r="J92" s="1" t="str">
        <f aca="false">D92</f>
        <v>_Z0_1_5_R0_1_1</v>
      </c>
      <c r="K92" s="1" t="s">
        <v>2</v>
      </c>
      <c r="P92" s="1" t="str">
        <f aca="false">_xlfn.CONCAT(H92:N92)</f>
        <v>s:Sc/PhaseSpAtPhaseVol_Z0_1_5_R0_1_1/Quantity                    = "PhaseSpace"</v>
      </c>
    </row>
    <row r="93" customFormat="false" ht="13.8" hidden="false" customHeight="false" outlineLevel="0" collapsed="false">
      <c r="B93" s="1"/>
      <c r="C93" s="1" t="s">
        <v>3</v>
      </c>
      <c r="D93" s="1" t="s">
        <v>4</v>
      </c>
      <c r="E93" s="1" t="s">
        <v>5</v>
      </c>
      <c r="F93" s="1" t="s">
        <v>6</v>
      </c>
      <c r="G93" s="1"/>
      <c r="H93" s="1" t="s">
        <v>7</v>
      </c>
      <c r="J93" s="1" t="str">
        <f aca="false">D92</f>
        <v>_Z0_1_5_R0_1_1</v>
      </c>
      <c r="K93" s="1" t="s">
        <v>8</v>
      </c>
      <c r="P93" s="1" t="str">
        <f aca="false">_xlfn.CONCAT(H93:N93)</f>
        <v>b:Sc/PhaseSpAtPhaseVol_Z0_1_5_R0_1_1/OutputToConsole             = "True"</v>
      </c>
    </row>
    <row r="94" customFormat="false" ht="13.8" hidden="false" customHeight="false" outlineLevel="0" collapsed="false">
      <c r="B94" s="1"/>
      <c r="C94" s="1" t="s">
        <v>9</v>
      </c>
      <c r="D94" s="1" t="n">
        <f aca="false">D64</f>
        <v>0</v>
      </c>
      <c r="E94" s="1" t="n">
        <f aca="false">E64</f>
        <v>1</v>
      </c>
      <c r="F94" s="1" t="n">
        <f aca="false">F64+1</f>
        <v>5</v>
      </c>
      <c r="G94" s="1"/>
      <c r="H94" s="1" t="s">
        <v>1</v>
      </c>
      <c r="J94" s="1" t="str">
        <f aca="false">D92</f>
        <v>_Z0_1_5_R0_1_1</v>
      </c>
      <c r="K94" s="1" t="s">
        <v>10</v>
      </c>
      <c r="L94" s="1" t="str">
        <f aca="false">D92</f>
        <v>_Z0_1_5_R0_1_1</v>
      </c>
      <c r="M94" s="1" t="s">
        <v>11</v>
      </c>
      <c r="P94" s="1" t="str">
        <f aca="false">_xlfn.CONCAT(H94:N94)</f>
        <v>s:Sc/PhaseSpAtPhaseVol_Z0_1_5_R0_1_1/Surface                     = "PhaseVol_Z0_1_5_R0_1_1/ZMinusSurface"</v>
      </c>
    </row>
    <row r="95" customFormat="false" ht="13.8" hidden="false" customHeight="false" outlineLevel="0" collapsed="false">
      <c r="B95" s="1"/>
      <c r="C95" s="1" t="s">
        <v>12</v>
      </c>
      <c r="D95" s="1" t="n">
        <f aca="false">D65</f>
        <v>0</v>
      </c>
      <c r="E95" s="1" t="n">
        <f aca="false">E65</f>
        <v>1</v>
      </c>
      <c r="F95" s="1" t="n">
        <f aca="false">F65</f>
        <v>1</v>
      </c>
      <c r="G95" s="1"/>
      <c r="H95" s="1" t="s">
        <v>1</v>
      </c>
      <c r="J95" s="1" t="str">
        <f aca="false">D92</f>
        <v>_Z0_1_5_R0_1_1</v>
      </c>
      <c r="K95" s="1" t="s">
        <v>13</v>
      </c>
      <c r="P95" s="1" t="str">
        <f aca="false">_xlfn.CONCAT(H95:N95)</f>
        <v>s:Sc/PhaseSpAtPhaseVol_Z0_1_5_R0_1_1/OutputType                  = "ASCII" # ASCII or Binary</v>
      </c>
    </row>
    <row r="96" customFormat="false" ht="13.8" hidden="false" customHeight="false" outlineLevel="0" collapsed="false">
      <c r="B96" s="1"/>
      <c r="C96" s="1" t="s">
        <v>14</v>
      </c>
      <c r="D96" s="1"/>
      <c r="E96" s="1"/>
      <c r="F96" s="1"/>
      <c r="G96" s="1"/>
      <c r="H96" s="1" t="s">
        <v>1</v>
      </c>
      <c r="J96" s="1" t="str">
        <f aca="false">D92</f>
        <v>_Z0_1_5_R0_1_1</v>
      </c>
      <c r="K96" s="1" t="s">
        <v>15</v>
      </c>
      <c r="L96" s="1" t="str">
        <f aca="false">D92</f>
        <v>_Z0_1_5_R0_1_1</v>
      </c>
      <c r="M96" s="1" t="s">
        <v>16</v>
      </c>
      <c r="P96" s="1" t="str">
        <f aca="false">_xlfn.CONCAT(H96:N96)</f>
        <v>s:Sc/PhaseSpAtPhaseVol_Z0_1_5_R0_1_1/OutputFile                  = "PhaseSpASCII_Z0_1_5_R0_1_1"</v>
      </c>
    </row>
    <row r="97" customFormat="false" ht="13.8" hidden="false" customHeight="false" outlineLevel="0" collapsed="false">
      <c r="B97" s="1"/>
      <c r="C97" s="1"/>
      <c r="D97" s="1"/>
      <c r="E97" s="1"/>
      <c r="F97" s="1"/>
      <c r="G97" s="1"/>
      <c r="H97" s="1" t="s">
        <v>17</v>
      </c>
      <c r="J97" s="1" t="str">
        <f aca="false">D92</f>
        <v>_Z0_1_5_R0_1_1</v>
      </c>
      <c r="K97" s="1" t="s">
        <v>18</v>
      </c>
      <c r="P97" s="1" t="str">
        <f aca="false">_xlfn.CONCAT(H97:N97)</f>
        <v>i:Sc/PhaseSpAtPhaseVol_Z0_1_5_R0_1_1/OutputBufferSize            = 1000</v>
      </c>
    </row>
    <row r="98" customFormat="false" ht="13.8" hidden="false" customHeight="false" outlineLevel="0" collapsed="false">
      <c r="B98" s="1"/>
      <c r="C98" s="1"/>
      <c r="D98" s="1"/>
      <c r="E98" s="1"/>
      <c r="F98" s="1"/>
      <c r="G98" s="1"/>
      <c r="H98" s="1" t="s">
        <v>19</v>
      </c>
      <c r="J98" s="1" t="str">
        <f aca="false">D92</f>
        <v>_Z0_1_5_R0_1_1</v>
      </c>
      <c r="K98" s="1" t="s">
        <v>20</v>
      </c>
      <c r="P98" s="1" t="str">
        <f aca="false">_xlfn.CONCAT(H98:N98)</f>
        <v># s:Sc/PhaseSpAtPhaseVol_Z0_1_5_R0_1_1/OnlyIncludeParticlesGoing  = "In"</v>
      </c>
    </row>
    <row r="99" customFormat="false" ht="13.8" hidden="false" customHeight="false" outlineLevel="0" collapsed="false">
      <c r="B99" s="1"/>
      <c r="C99" s="1"/>
      <c r="D99" s="1"/>
      <c r="E99" s="1"/>
      <c r="F99" s="1"/>
      <c r="G99" s="1"/>
      <c r="H99" s="1" t="s">
        <v>7</v>
      </c>
      <c r="J99" s="1" t="str">
        <f aca="false">D92</f>
        <v>_Z0_1_5_R0_1_1</v>
      </c>
      <c r="K99" s="1" t="s">
        <v>21</v>
      </c>
      <c r="P99" s="1" t="str">
        <f aca="false">_xlfn.CONCAT(H99:N99)</f>
        <v>b:Sc/PhaseSpAtPhaseVol_Z0_1_5_R0_1_1/IncludeRunID                = "True"</v>
      </c>
    </row>
    <row r="100" customFormat="false" ht="13.8" hidden="false" customHeight="false" outlineLevel="0" collapsed="false">
      <c r="B100" s="1"/>
      <c r="C100" s="1"/>
      <c r="D100" s="1"/>
      <c r="E100" s="1"/>
      <c r="F100" s="1"/>
      <c r="G100" s="1"/>
      <c r="H100" s="1" t="s">
        <v>7</v>
      </c>
      <c r="J100" s="1" t="str">
        <f aca="false">D92</f>
        <v>_Z0_1_5_R0_1_1</v>
      </c>
      <c r="K100" s="1" t="s">
        <v>22</v>
      </c>
      <c r="P100" s="1" t="str">
        <f aca="false">_xlfn.CONCAT(H100:N100)</f>
        <v>b:Sc/PhaseSpAtPhaseVol_Z0_1_5_R0_1_1/IncludeEventID              = "True"</v>
      </c>
    </row>
    <row r="101" customFormat="false" ht="13.8" hidden="false" customHeight="false" outlineLevel="0" collapsed="false">
      <c r="B101" s="1"/>
      <c r="C101" s="1"/>
      <c r="D101" s="1"/>
      <c r="E101" s="1"/>
      <c r="F101" s="1"/>
      <c r="G101" s="1"/>
      <c r="H101" s="1" t="s">
        <v>7</v>
      </c>
      <c r="J101" s="1" t="str">
        <f aca="false">D92</f>
        <v>_Z0_1_5_R0_1_1</v>
      </c>
      <c r="K101" s="1" t="s">
        <v>23</v>
      </c>
      <c r="P101" s="1" t="str">
        <f aca="false">_xlfn.CONCAT(H101:N101)</f>
        <v>b:Sc/PhaseSpAtPhaseVol_Z0_1_5_R0_1_1/IncludeTrackID              = "True"</v>
      </c>
    </row>
    <row r="102" customFormat="false" ht="13.8" hidden="false" customHeight="false" outlineLevel="0" collapsed="false">
      <c r="B102" s="1"/>
      <c r="C102" s="1"/>
      <c r="D102" s="1"/>
      <c r="E102" s="1"/>
      <c r="F102" s="1"/>
      <c r="G102" s="1"/>
      <c r="H102" s="1" t="s">
        <v>7</v>
      </c>
      <c r="J102" s="1" t="str">
        <f aca="false">D92</f>
        <v>_Z0_1_5_R0_1_1</v>
      </c>
      <c r="K102" s="1" t="s">
        <v>24</v>
      </c>
      <c r="P102" s="1" t="str">
        <f aca="false">_xlfn.CONCAT(H102:N102)</f>
        <v>b:Sc/PhaseSpAtPhaseVol_Z0_1_5_R0_1_1/IncludeTime                 = "True"</v>
      </c>
    </row>
    <row r="103" customFormat="false" ht="13.8" hidden="false" customHeight="false" outlineLevel="0" collapsed="false">
      <c r="B103" s="1"/>
      <c r="C103" s="1"/>
      <c r="D103" s="1"/>
      <c r="E103" s="1"/>
      <c r="F103" s="1"/>
      <c r="G103" s="1"/>
      <c r="H103" s="1" t="s">
        <v>7</v>
      </c>
      <c r="J103" s="1" t="str">
        <f aca="false">D92</f>
        <v>_Z0_1_5_R0_1_1</v>
      </c>
      <c r="K103" s="1" t="s">
        <v>25</v>
      </c>
      <c r="P103" s="1" t="str">
        <f aca="false">_xlfn.CONCAT(H103:N103)</f>
        <v>b:Sc/PhaseSpAtPhaseVol_Z0_1_5_R0_1_1/IncludeSeed                 = "True"</v>
      </c>
    </row>
    <row r="104" customFormat="false" ht="13.8" hidden="false" customHeight="false" outlineLevel="0" collapsed="false">
      <c r="B104" s="1"/>
      <c r="C104" s="1"/>
      <c r="D104" s="1"/>
      <c r="E104" s="1"/>
      <c r="F104" s="1"/>
      <c r="G104" s="1"/>
      <c r="H104" s="1" t="s">
        <v>1</v>
      </c>
      <c r="J104" s="1" t="str">
        <f aca="false">D92</f>
        <v>_Z0_1_5_R0_1_1</v>
      </c>
      <c r="K104" s="1" t="s">
        <v>26</v>
      </c>
      <c r="P104" s="1" t="str">
        <f aca="false">_xlfn.CONCAT(H104:N104)</f>
        <v>s:Sc/PhaseSpAtPhaseVol_Z0_1_5_R0_1_1/IfOutputFileAlreadyExists   = "Overwrite" # Exit, Overwrite or Increment</v>
      </c>
    </row>
    <row r="105" customFormat="false" ht="13.8" hidden="false" customHeight="false" outlineLevel="0" collapsed="false">
      <c r="B105" s="1"/>
      <c r="C105" s="1"/>
      <c r="D105" s="1"/>
      <c r="E105" s="1"/>
      <c r="F105" s="1"/>
      <c r="G105" s="1"/>
      <c r="H105" s="1" t="s">
        <v>7</v>
      </c>
      <c r="J105" s="1" t="str">
        <f aca="false">D92</f>
        <v>_Z0_1_5_R0_1_1</v>
      </c>
      <c r="K105" s="1" t="s">
        <v>27</v>
      </c>
      <c r="P105" s="1" t="str">
        <f aca="false">_xlfn.CONCAT(H105:N105)</f>
        <v>b:Sc/PhaseSpAtPhaseVol_Z0_1_5_R0_1_1/OutputAfterRun              = "True"</v>
      </c>
    </row>
    <row r="106" customFormat="false" ht="13.8" hidden="false" customHeight="false" outlineLevel="0" collapsed="false">
      <c r="B106" s="1"/>
      <c r="C106" s="1"/>
      <c r="D106" s="1"/>
      <c r="E106" s="1"/>
      <c r="F106" s="1"/>
      <c r="G106" s="1"/>
      <c r="H106" s="1" t="s">
        <v>28</v>
      </c>
      <c r="J106" s="1" t="str">
        <f aca="false">D92</f>
        <v>_Z0_1_5_R0_1_1</v>
      </c>
      <c r="K106" s="1" t="s">
        <v>29</v>
      </c>
      <c r="P106" s="1" t="str">
        <f aca="false">_xlfn.CONCAT(H106:N106)</f>
        <v>s:Ge/PhaseVol_Z0_1_5_R0_1_1/Parent     = "World"</v>
      </c>
    </row>
    <row r="107" customFormat="false" ht="13.8" hidden="false" customHeight="false" outlineLevel="0" collapsed="false">
      <c r="B107" s="1"/>
      <c r="C107" s="1"/>
      <c r="D107" s="1"/>
      <c r="E107" s="1"/>
      <c r="F107" s="1"/>
      <c r="G107" s="1"/>
      <c r="H107" s="1" t="s">
        <v>28</v>
      </c>
      <c r="J107" s="1" t="str">
        <f aca="false">D92</f>
        <v>_Z0_1_5_R0_1_1</v>
      </c>
      <c r="K107" s="1" t="s">
        <v>30</v>
      </c>
      <c r="P107" s="1" t="str">
        <f aca="false">_xlfn.CONCAT(H107:N107)</f>
        <v>s:Ge/PhaseVol_Z0_1_5_R0_1_1/Type       =  "TsCylinder"</v>
      </c>
    </row>
    <row r="108" customFormat="false" ht="13.8" hidden="false" customHeight="false" outlineLevel="0" collapsed="false">
      <c r="B108" s="1"/>
      <c r="C108" s="1"/>
      <c r="D108" s="1"/>
      <c r="E108" s="1"/>
      <c r="F108" s="1"/>
      <c r="G108" s="1"/>
      <c r="H108" s="1" t="s">
        <v>28</v>
      </c>
      <c r="J108" s="1" t="str">
        <f aca="false">D92</f>
        <v>_Z0_1_5_R0_1_1</v>
      </c>
      <c r="K108" s="1" t="s">
        <v>31</v>
      </c>
      <c r="P108" s="1" t="str">
        <f aca="false">_xlfn.CONCAT(H108:N108)</f>
        <v>s:Ge/PhaseVol_Z0_1_5_R0_1_1/Material   = "G4_WATER"</v>
      </c>
    </row>
    <row r="109" customFormat="false" ht="13.8" hidden="false" customHeight="false" outlineLevel="0" collapsed="false">
      <c r="B109" s="1"/>
      <c r="C109" s="1"/>
      <c r="D109" s="1"/>
      <c r="E109" s="1"/>
      <c r="F109" s="1"/>
      <c r="G109" s="1"/>
      <c r="H109" s="1" t="s">
        <v>32</v>
      </c>
      <c r="J109" s="1" t="str">
        <f aca="false">D92</f>
        <v>_Z0_1_5_R0_1_1</v>
      </c>
      <c r="K109" s="1" t="s">
        <v>33</v>
      </c>
      <c r="L109" s="1" t="n">
        <f aca="false">D95+E95*(F95 -1)</f>
        <v>0</v>
      </c>
      <c r="M109" s="1" t="s">
        <v>34</v>
      </c>
      <c r="P109" s="1" t="str">
        <f aca="false">_xlfn.CONCAT(H109:N109)</f>
        <v>d:Ge/PhaseVol_Z0_1_5_R0_1_1/Rmin =  0 cm</v>
      </c>
    </row>
    <row r="110" customFormat="false" ht="13.8" hidden="false" customHeight="false" outlineLevel="0" collapsed="false">
      <c r="B110" s="1"/>
      <c r="C110" s="1"/>
      <c r="D110" s="1"/>
      <c r="E110" s="1"/>
      <c r="F110" s="1"/>
      <c r="G110" s="1"/>
      <c r="H110" s="1" t="s">
        <v>32</v>
      </c>
      <c r="J110" s="1" t="str">
        <f aca="false">D92</f>
        <v>_Z0_1_5_R0_1_1</v>
      </c>
      <c r="K110" s="1" t="s">
        <v>35</v>
      </c>
      <c r="L110" s="2" t="n">
        <f aca="false">D95+E95*(F95 )</f>
        <v>1</v>
      </c>
      <c r="M110" s="1" t="s">
        <v>34</v>
      </c>
      <c r="P110" s="1" t="str">
        <f aca="false">_xlfn.CONCAT(H110:N110)</f>
        <v>d:Ge/PhaseVol_Z0_1_5_R0_1_1/Rmax = 1 cm</v>
      </c>
    </row>
    <row r="111" customFormat="false" ht="13.8" hidden="false" customHeight="false" outlineLevel="0" collapsed="false">
      <c r="B111" s="1"/>
      <c r="C111" s="1"/>
      <c r="D111" s="1"/>
      <c r="E111" s="1"/>
      <c r="F111" s="1"/>
      <c r="G111" s="1"/>
      <c r="H111" s="1" t="s">
        <v>32</v>
      </c>
      <c r="J111" s="1" t="str">
        <f aca="false">D92</f>
        <v>_Z0_1_5_R0_1_1</v>
      </c>
      <c r="K111" s="1" t="s">
        <v>36</v>
      </c>
      <c r="L111" s="1" t="n">
        <f aca="false">0.5*E94</f>
        <v>0.5</v>
      </c>
      <c r="M111" s="1" t="s">
        <v>34</v>
      </c>
      <c r="P111" s="1" t="str">
        <f aca="false">_xlfn.CONCAT(H111:N111)</f>
        <v>d:Ge/PhaseVol_Z0_1_5_R0_1_1/HL = 0.5 cm</v>
      </c>
    </row>
    <row r="112" customFormat="false" ht="16.95" hidden="false" customHeight="true" outlineLevel="0" collapsed="false">
      <c r="B112" s="1"/>
      <c r="C112" s="1"/>
      <c r="D112" s="1"/>
      <c r="E112" s="1"/>
      <c r="F112" s="1"/>
      <c r="G112" s="1"/>
      <c r="H112" s="1" t="s">
        <v>32</v>
      </c>
      <c r="J112" s="1" t="str">
        <f aca="false">D92</f>
        <v>_Z0_1_5_R0_1_1</v>
      </c>
      <c r="K112" s="3" t="s">
        <v>37</v>
      </c>
      <c r="L112" s="1" t="n">
        <v>0</v>
      </c>
      <c r="M112" s="1" t="s">
        <v>38</v>
      </c>
      <c r="P112" s="1" t="str">
        <f aca="false">_xlfn.CONCAT(H112:N112)</f>
        <v>d:Ge/PhaseVol_Z0_1_5_R0_1_1/Sphi     = 0 deg</v>
      </c>
    </row>
    <row r="113" customFormat="false" ht="16.95" hidden="false" customHeight="true" outlineLevel="0" collapsed="false">
      <c r="B113" s="1"/>
      <c r="C113" s="1"/>
      <c r="D113" s="1"/>
      <c r="E113" s="1"/>
      <c r="F113" s="1"/>
      <c r="G113" s="1"/>
      <c r="H113" s="1" t="s">
        <v>32</v>
      </c>
      <c r="I113" s="1"/>
      <c r="J113" s="1" t="str">
        <f aca="false">D92</f>
        <v>_Z0_1_5_R0_1_1</v>
      </c>
      <c r="K113" s="1" t="s">
        <v>39</v>
      </c>
      <c r="L113" s="1" t="n">
        <v>360</v>
      </c>
      <c r="M113" s="1" t="s">
        <v>38</v>
      </c>
      <c r="P113" s="1" t="str">
        <f aca="false">_xlfn.CONCAT(H113:N113)</f>
        <v>d:Ge/PhaseVol_Z0_1_5_R0_1_1/Dphi     = 360 deg</v>
      </c>
    </row>
    <row r="114" customFormat="false" ht="16.95" hidden="false" customHeight="true" outlineLevel="0" collapsed="false">
      <c r="B114" s="1"/>
      <c r="C114" s="1"/>
      <c r="D114" s="1"/>
      <c r="E114" s="1"/>
      <c r="F114" s="1"/>
      <c r="G114" s="1"/>
      <c r="H114" s="1" t="s">
        <v>32</v>
      </c>
      <c r="J114" s="1" t="str">
        <f aca="false">D92</f>
        <v>_Z0_1_5_R0_1_1</v>
      </c>
      <c r="K114" s="1" t="s">
        <v>40</v>
      </c>
      <c r="L114" s="1" t="n">
        <v>0</v>
      </c>
      <c r="M114" s="1" t="s">
        <v>34</v>
      </c>
      <c r="P114" s="1" t="str">
        <f aca="false">_xlfn.CONCAT(H114:N114)</f>
        <v>d:Ge/PhaseVol_Z0_1_5_R0_1_1/TransX   =  0 cm</v>
      </c>
    </row>
    <row r="115" customFormat="false" ht="16.95" hidden="false" customHeight="true" outlineLevel="0" collapsed="false">
      <c r="B115" s="1"/>
      <c r="C115" s="1"/>
      <c r="D115" s="1"/>
      <c r="E115" s="1"/>
      <c r="F115" s="1"/>
      <c r="G115" s="1"/>
      <c r="H115" s="1" t="s">
        <v>32</v>
      </c>
      <c r="J115" s="1" t="str">
        <f aca="false">D92</f>
        <v>_Z0_1_5_R0_1_1</v>
      </c>
      <c r="K115" s="1" t="s">
        <v>41</v>
      </c>
      <c r="L115" s="1" t="n">
        <v>0</v>
      </c>
      <c r="M115" s="1" t="s">
        <v>34</v>
      </c>
      <c r="P115" s="1" t="str">
        <f aca="false">_xlfn.CONCAT(H115:N115)</f>
        <v>d:Ge/PhaseVol_Z0_1_5_R0_1_1/TransY   =  0 cm</v>
      </c>
    </row>
    <row r="116" customFormat="false" ht="16.95" hidden="false" customHeight="true" outlineLevel="0" collapsed="false">
      <c r="B116" s="1"/>
      <c r="C116" s="1"/>
      <c r="D116" s="1"/>
      <c r="E116" s="1"/>
      <c r="F116" s="1"/>
      <c r="G116" s="1"/>
      <c r="H116" s="1" t="s">
        <v>32</v>
      </c>
      <c r="J116" s="1" t="str">
        <f aca="false">D92</f>
        <v>_Z0_1_5_R0_1_1</v>
      </c>
      <c r="K116" s="1" t="s">
        <v>42</v>
      </c>
      <c r="L116" s="1" t="n">
        <f aca="false">-1*(D94-0.5*E94+E94*(F94))</f>
        <v>-4.5</v>
      </c>
      <c r="M116" s="1" t="s">
        <v>34</v>
      </c>
      <c r="P116" s="1" t="str">
        <f aca="false">_xlfn.CONCAT(H116:N116)</f>
        <v>d:Ge/PhaseVol_Z0_1_5_R0_1_1/TransZ   =  -4.5 cm</v>
      </c>
    </row>
    <row r="117" customFormat="false" ht="16.95" hidden="false" customHeight="true" outlineLevel="0" collapsed="false">
      <c r="B117" s="1"/>
      <c r="C117" s="1"/>
      <c r="D117" s="1"/>
      <c r="E117" s="1"/>
      <c r="F117" s="1"/>
      <c r="G117" s="1"/>
      <c r="H117" s="1" t="s">
        <v>32</v>
      </c>
      <c r="J117" s="1" t="str">
        <f aca="false">D92</f>
        <v>_Z0_1_5_R0_1_1</v>
      </c>
      <c r="K117" s="1" t="s">
        <v>43</v>
      </c>
      <c r="L117" s="1" t="n">
        <v>0</v>
      </c>
      <c r="M117" s="1" t="s">
        <v>38</v>
      </c>
      <c r="P117" s="1" t="str">
        <f aca="false">_xlfn.CONCAT(H117:N117)</f>
        <v>d:Ge/PhaseVol_Z0_1_5_R0_1_1/RotX     = 0 deg</v>
      </c>
    </row>
    <row r="118" customFormat="false" ht="16.95" hidden="false" customHeight="true" outlineLevel="0" collapsed="false">
      <c r="B118" s="1"/>
      <c r="C118" s="1"/>
      <c r="D118" s="1"/>
      <c r="E118" s="1"/>
      <c r="F118" s="1"/>
      <c r="G118" s="1"/>
      <c r="H118" s="1" t="s">
        <v>32</v>
      </c>
      <c r="J118" s="1" t="str">
        <f aca="false">D92</f>
        <v>_Z0_1_5_R0_1_1</v>
      </c>
      <c r="K118" s="1" t="s">
        <v>44</v>
      </c>
      <c r="L118" s="1" t="n">
        <v>0</v>
      </c>
      <c r="M118" s="1" t="s">
        <v>38</v>
      </c>
      <c r="P118" s="1" t="str">
        <f aca="false">_xlfn.CONCAT(H118:N118)</f>
        <v>d:Ge/PhaseVol_Z0_1_5_R0_1_1/RotY     =  0 deg</v>
      </c>
    </row>
    <row r="119" customFormat="false" ht="16.95" hidden="false" customHeight="true" outlineLevel="0" collapsed="false">
      <c r="B119" s="1"/>
      <c r="C119" s="1"/>
      <c r="D119" s="1"/>
      <c r="E119" s="1"/>
      <c r="F119" s="1"/>
      <c r="G119" s="1"/>
      <c r="H119" s="1" t="s">
        <v>32</v>
      </c>
      <c r="J119" s="1" t="str">
        <f aca="false">D92</f>
        <v>_Z0_1_5_R0_1_1</v>
      </c>
      <c r="K119" s="1" t="s">
        <v>45</v>
      </c>
      <c r="L119" s="1" t="n">
        <v>0</v>
      </c>
      <c r="M119" s="1" t="s">
        <v>38</v>
      </c>
      <c r="P119" s="1" t="str">
        <f aca="false">_xlfn.CONCAT(H119:N119)</f>
        <v>d:Ge/PhaseVol_Z0_1_5_R0_1_1/RotZ     = 0 deg</v>
      </c>
    </row>
    <row r="120" customFormat="false" ht="16.95" hidden="false" customHeight="true" outlineLevel="0" collapsed="false">
      <c r="B120" s="1"/>
      <c r="C120" s="1"/>
      <c r="D120" s="1"/>
      <c r="E120" s="1"/>
      <c r="F120" s="1"/>
      <c r="G120" s="1"/>
      <c r="H120" s="1" t="s">
        <v>28</v>
      </c>
      <c r="J120" s="1" t="str">
        <f aca="false">D92</f>
        <v>_Z0_1_5_R0_1_1</v>
      </c>
      <c r="K120" s="1" t="s">
        <v>46</v>
      </c>
      <c r="P120" s="1" t="str">
        <f aca="false">_xlfn.CONCAT(H120:N120)</f>
        <v>s:Ge/PhaseVol_Z0_1_5_R0_1_1/Color    = "blue"</v>
      </c>
    </row>
    <row r="122" customFormat="false" ht="13.8" hidden="false" customHeight="false" outlineLevel="0" collapsed="false">
      <c r="C122" s="1" t="s">
        <v>0</v>
      </c>
      <c r="D122" s="1" t="str">
        <f aca="false">(IF(D124&lt;0,"_Zm","_Z"))&amp;ABS(D124)&amp;"_"&amp;E124&amp;"_"&amp;F124&amp;"_R"&amp;D125&amp;"_"&amp;E125&amp;"_"&amp;F125</f>
        <v>_Z0_1_6_R0_1_1</v>
      </c>
      <c r="H122" s="1" t="s">
        <v>1</v>
      </c>
      <c r="J122" s="1" t="str">
        <f aca="false">D122</f>
        <v>_Z0_1_6_R0_1_1</v>
      </c>
      <c r="K122" s="1" t="s">
        <v>2</v>
      </c>
      <c r="P122" s="1" t="str">
        <f aca="false">_xlfn.CONCAT(H122:N122)</f>
        <v>s:Sc/PhaseSpAtPhaseVol_Z0_1_6_R0_1_1/Quantity                    = "PhaseSpace"</v>
      </c>
    </row>
    <row r="123" customFormat="false" ht="13.8" hidden="false" customHeight="false" outlineLevel="0" collapsed="false">
      <c r="B123" s="1"/>
      <c r="C123" s="1" t="s">
        <v>3</v>
      </c>
      <c r="D123" s="1" t="s">
        <v>4</v>
      </c>
      <c r="E123" s="1" t="s">
        <v>5</v>
      </c>
      <c r="F123" s="1" t="s">
        <v>6</v>
      </c>
      <c r="G123" s="1"/>
      <c r="H123" s="1" t="s">
        <v>7</v>
      </c>
      <c r="J123" s="1" t="str">
        <f aca="false">D122</f>
        <v>_Z0_1_6_R0_1_1</v>
      </c>
      <c r="K123" s="1" t="s">
        <v>8</v>
      </c>
      <c r="P123" s="1" t="str">
        <f aca="false">_xlfn.CONCAT(H123:N123)</f>
        <v>b:Sc/PhaseSpAtPhaseVol_Z0_1_6_R0_1_1/OutputToConsole             = "True"</v>
      </c>
    </row>
    <row r="124" customFormat="false" ht="13.8" hidden="false" customHeight="false" outlineLevel="0" collapsed="false">
      <c r="B124" s="1"/>
      <c r="C124" s="1" t="s">
        <v>9</v>
      </c>
      <c r="D124" s="1" t="n">
        <f aca="false">D94</f>
        <v>0</v>
      </c>
      <c r="E124" s="1" t="n">
        <f aca="false">E94</f>
        <v>1</v>
      </c>
      <c r="F124" s="1" t="n">
        <f aca="false">F94+1</f>
        <v>6</v>
      </c>
      <c r="G124" s="1"/>
      <c r="H124" s="1" t="s">
        <v>1</v>
      </c>
      <c r="J124" s="1" t="str">
        <f aca="false">D122</f>
        <v>_Z0_1_6_R0_1_1</v>
      </c>
      <c r="K124" s="1" t="s">
        <v>10</v>
      </c>
      <c r="L124" s="1" t="str">
        <f aca="false">D122</f>
        <v>_Z0_1_6_R0_1_1</v>
      </c>
      <c r="M124" s="1" t="s">
        <v>11</v>
      </c>
      <c r="P124" s="1" t="str">
        <f aca="false">_xlfn.CONCAT(H124:N124)</f>
        <v>s:Sc/PhaseSpAtPhaseVol_Z0_1_6_R0_1_1/Surface                     = "PhaseVol_Z0_1_6_R0_1_1/ZMinusSurface"</v>
      </c>
    </row>
    <row r="125" customFormat="false" ht="13.8" hidden="false" customHeight="false" outlineLevel="0" collapsed="false">
      <c r="B125" s="1"/>
      <c r="C125" s="1" t="s">
        <v>12</v>
      </c>
      <c r="D125" s="1" t="n">
        <f aca="false">D95</f>
        <v>0</v>
      </c>
      <c r="E125" s="1" t="n">
        <f aca="false">E95</f>
        <v>1</v>
      </c>
      <c r="F125" s="1" t="n">
        <f aca="false">F95</f>
        <v>1</v>
      </c>
      <c r="G125" s="1"/>
      <c r="H125" s="1" t="s">
        <v>1</v>
      </c>
      <c r="J125" s="1" t="str">
        <f aca="false">D122</f>
        <v>_Z0_1_6_R0_1_1</v>
      </c>
      <c r="K125" s="1" t="s">
        <v>13</v>
      </c>
      <c r="P125" s="1" t="str">
        <f aca="false">_xlfn.CONCAT(H125:N125)</f>
        <v>s:Sc/PhaseSpAtPhaseVol_Z0_1_6_R0_1_1/OutputType                  = "ASCII" # ASCII or Binary</v>
      </c>
    </row>
    <row r="126" customFormat="false" ht="13.8" hidden="false" customHeight="false" outlineLevel="0" collapsed="false">
      <c r="B126" s="1"/>
      <c r="C126" s="1" t="s">
        <v>14</v>
      </c>
      <c r="D126" s="1"/>
      <c r="E126" s="1"/>
      <c r="F126" s="1"/>
      <c r="G126" s="1"/>
      <c r="H126" s="1" t="s">
        <v>1</v>
      </c>
      <c r="J126" s="1" t="str">
        <f aca="false">D122</f>
        <v>_Z0_1_6_R0_1_1</v>
      </c>
      <c r="K126" s="1" t="s">
        <v>15</v>
      </c>
      <c r="L126" s="1" t="str">
        <f aca="false">D122</f>
        <v>_Z0_1_6_R0_1_1</v>
      </c>
      <c r="M126" s="1" t="s">
        <v>16</v>
      </c>
      <c r="P126" s="1" t="str">
        <f aca="false">_xlfn.CONCAT(H126:N126)</f>
        <v>s:Sc/PhaseSpAtPhaseVol_Z0_1_6_R0_1_1/OutputFile                  = "PhaseSpASCII_Z0_1_6_R0_1_1"</v>
      </c>
    </row>
    <row r="127" customFormat="false" ht="13.8" hidden="false" customHeight="false" outlineLevel="0" collapsed="false">
      <c r="B127" s="1"/>
      <c r="C127" s="1"/>
      <c r="D127" s="1"/>
      <c r="E127" s="1"/>
      <c r="F127" s="1"/>
      <c r="G127" s="1"/>
      <c r="H127" s="1" t="s">
        <v>17</v>
      </c>
      <c r="J127" s="1" t="str">
        <f aca="false">D122</f>
        <v>_Z0_1_6_R0_1_1</v>
      </c>
      <c r="K127" s="1" t="s">
        <v>18</v>
      </c>
      <c r="P127" s="1" t="str">
        <f aca="false">_xlfn.CONCAT(H127:N127)</f>
        <v>i:Sc/PhaseSpAtPhaseVol_Z0_1_6_R0_1_1/OutputBufferSize            = 1000</v>
      </c>
    </row>
    <row r="128" customFormat="false" ht="13.8" hidden="false" customHeight="false" outlineLevel="0" collapsed="false">
      <c r="B128" s="1"/>
      <c r="C128" s="1"/>
      <c r="D128" s="1"/>
      <c r="E128" s="1"/>
      <c r="F128" s="1"/>
      <c r="G128" s="1"/>
      <c r="H128" s="1" t="s">
        <v>19</v>
      </c>
      <c r="J128" s="1" t="str">
        <f aca="false">D122</f>
        <v>_Z0_1_6_R0_1_1</v>
      </c>
      <c r="K128" s="1" t="s">
        <v>20</v>
      </c>
      <c r="P128" s="1" t="str">
        <f aca="false">_xlfn.CONCAT(H128:N128)</f>
        <v># s:Sc/PhaseSpAtPhaseVol_Z0_1_6_R0_1_1/OnlyIncludeParticlesGoing  = "In"</v>
      </c>
    </row>
    <row r="129" customFormat="false" ht="13.8" hidden="false" customHeight="false" outlineLevel="0" collapsed="false">
      <c r="B129" s="1"/>
      <c r="C129" s="1"/>
      <c r="D129" s="1"/>
      <c r="E129" s="1"/>
      <c r="F129" s="1"/>
      <c r="G129" s="1"/>
      <c r="H129" s="1" t="s">
        <v>7</v>
      </c>
      <c r="J129" s="1" t="str">
        <f aca="false">D122</f>
        <v>_Z0_1_6_R0_1_1</v>
      </c>
      <c r="K129" s="1" t="s">
        <v>21</v>
      </c>
      <c r="P129" s="1" t="str">
        <f aca="false">_xlfn.CONCAT(H129:N129)</f>
        <v>b:Sc/PhaseSpAtPhaseVol_Z0_1_6_R0_1_1/IncludeRunID                = "True"</v>
      </c>
    </row>
    <row r="130" customFormat="false" ht="13.8" hidden="false" customHeight="false" outlineLevel="0" collapsed="false">
      <c r="B130" s="1"/>
      <c r="C130" s="1"/>
      <c r="D130" s="1"/>
      <c r="E130" s="1"/>
      <c r="F130" s="1"/>
      <c r="G130" s="1"/>
      <c r="H130" s="1" t="s">
        <v>7</v>
      </c>
      <c r="J130" s="1" t="str">
        <f aca="false">D122</f>
        <v>_Z0_1_6_R0_1_1</v>
      </c>
      <c r="K130" s="1" t="s">
        <v>22</v>
      </c>
      <c r="P130" s="1" t="str">
        <f aca="false">_xlfn.CONCAT(H130:N130)</f>
        <v>b:Sc/PhaseSpAtPhaseVol_Z0_1_6_R0_1_1/IncludeEventID              = "True"</v>
      </c>
    </row>
    <row r="131" customFormat="false" ht="13.8" hidden="false" customHeight="false" outlineLevel="0" collapsed="false">
      <c r="B131" s="1"/>
      <c r="C131" s="1"/>
      <c r="D131" s="1"/>
      <c r="E131" s="1"/>
      <c r="F131" s="1"/>
      <c r="G131" s="1"/>
      <c r="H131" s="1" t="s">
        <v>7</v>
      </c>
      <c r="J131" s="1" t="str">
        <f aca="false">D122</f>
        <v>_Z0_1_6_R0_1_1</v>
      </c>
      <c r="K131" s="1" t="s">
        <v>23</v>
      </c>
      <c r="P131" s="1" t="str">
        <f aca="false">_xlfn.CONCAT(H131:N131)</f>
        <v>b:Sc/PhaseSpAtPhaseVol_Z0_1_6_R0_1_1/IncludeTrackID              = "True"</v>
      </c>
    </row>
    <row r="132" customFormat="false" ht="13.8" hidden="false" customHeight="false" outlineLevel="0" collapsed="false">
      <c r="B132" s="1"/>
      <c r="C132" s="1"/>
      <c r="D132" s="1"/>
      <c r="E132" s="1"/>
      <c r="F132" s="1"/>
      <c r="G132" s="1"/>
      <c r="H132" s="1" t="s">
        <v>7</v>
      </c>
      <c r="J132" s="1" t="str">
        <f aca="false">D122</f>
        <v>_Z0_1_6_R0_1_1</v>
      </c>
      <c r="K132" s="1" t="s">
        <v>24</v>
      </c>
      <c r="P132" s="1" t="str">
        <f aca="false">_xlfn.CONCAT(H132:N132)</f>
        <v>b:Sc/PhaseSpAtPhaseVol_Z0_1_6_R0_1_1/IncludeTime                 = "True"</v>
      </c>
    </row>
    <row r="133" customFormat="false" ht="13.8" hidden="false" customHeight="false" outlineLevel="0" collapsed="false">
      <c r="B133" s="1"/>
      <c r="C133" s="1"/>
      <c r="D133" s="1"/>
      <c r="E133" s="1"/>
      <c r="F133" s="1"/>
      <c r="G133" s="1"/>
      <c r="H133" s="1" t="s">
        <v>7</v>
      </c>
      <c r="J133" s="1" t="str">
        <f aca="false">D122</f>
        <v>_Z0_1_6_R0_1_1</v>
      </c>
      <c r="K133" s="1" t="s">
        <v>25</v>
      </c>
      <c r="P133" s="1" t="str">
        <f aca="false">_xlfn.CONCAT(H133:N133)</f>
        <v>b:Sc/PhaseSpAtPhaseVol_Z0_1_6_R0_1_1/IncludeSeed                 = "True"</v>
      </c>
    </row>
    <row r="134" customFormat="false" ht="13.8" hidden="false" customHeight="false" outlineLevel="0" collapsed="false">
      <c r="B134" s="1"/>
      <c r="C134" s="1"/>
      <c r="D134" s="1"/>
      <c r="E134" s="1"/>
      <c r="F134" s="1"/>
      <c r="G134" s="1"/>
      <c r="H134" s="1" t="s">
        <v>1</v>
      </c>
      <c r="J134" s="1" t="str">
        <f aca="false">D122</f>
        <v>_Z0_1_6_R0_1_1</v>
      </c>
      <c r="K134" s="1" t="s">
        <v>26</v>
      </c>
      <c r="P134" s="1" t="str">
        <f aca="false">_xlfn.CONCAT(H134:N134)</f>
        <v>s:Sc/PhaseSpAtPhaseVol_Z0_1_6_R0_1_1/IfOutputFileAlreadyExists   = "Overwrite" # Exit, Overwrite or Increment</v>
      </c>
    </row>
    <row r="135" customFormat="false" ht="13.8" hidden="false" customHeight="false" outlineLevel="0" collapsed="false">
      <c r="B135" s="1"/>
      <c r="C135" s="1"/>
      <c r="D135" s="1"/>
      <c r="E135" s="1"/>
      <c r="F135" s="1"/>
      <c r="G135" s="1"/>
      <c r="H135" s="1" t="s">
        <v>7</v>
      </c>
      <c r="J135" s="1" t="str">
        <f aca="false">D122</f>
        <v>_Z0_1_6_R0_1_1</v>
      </c>
      <c r="K135" s="1" t="s">
        <v>27</v>
      </c>
      <c r="P135" s="1" t="str">
        <f aca="false">_xlfn.CONCAT(H135:N135)</f>
        <v>b:Sc/PhaseSpAtPhaseVol_Z0_1_6_R0_1_1/OutputAfterRun              = "True"</v>
      </c>
    </row>
    <row r="136" customFormat="false" ht="13.8" hidden="false" customHeight="false" outlineLevel="0" collapsed="false">
      <c r="B136" s="1"/>
      <c r="C136" s="1"/>
      <c r="D136" s="1"/>
      <c r="E136" s="1"/>
      <c r="F136" s="1"/>
      <c r="G136" s="1"/>
      <c r="H136" s="1" t="s">
        <v>28</v>
      </c>
      <c r="J136" s="1" t="str">
        <f aca="false">D122</f>
        <v>_Z0_1_6_R0_1_1</v>
      </c>
      <c r="K136" s="1" t="s">
        <v>29</v>
      </c>
      <c r="P136" s="1" t="str">
        <f aca="false">_xlfn.CONCAT(H136:N136)</f>
        <v>s:Ge/PhaseVol_Z0_1_6_R0_1_1/Parent     = "World"</v>
      </c>
    </row>
    <row r="137" customFormat="false" ht="13.8" hidden="false" customHeight="false" outlineLevel="0" collapsed="false">
      <c r="B137" s="1"/>
      <c r="C137" s="1"/>
      <c r="D137" s="1"/>
      <c r="E137" s="1"/>
      <c r="F137" s="1"/>
      <c r="G137" s="1"/>
      <c r="H137" s="1" t="s">
        <v>28</v>
      </c>
      <c r="J137" s="1" t="str">
        <f aca="false">D122</f>
        <v>_Z0_1_6_R0_1_1</v>
      </c>
      <c r="K137" s="1" t="s">
        <v>30</v>
      </c>
      <c r="P137" s="1" t="str">
        <f aca="false">_xlfn.CONCAT(H137:N137)</f>
        <v>s:Ge/PhaseVol_Z0_1_6_R0_1_1/Type       =  "TsCylinder"</v>
      </c>
    </row>
    <row r="138" customFormat="false" ht="13.8" hidden="false" customHeight="false" outlineLevel="0" collapsed="false">
      <c r="B138" s="1"/>
      <c r="C138" s="1"/>
      <c r="D138" s="1"/>
      <c r="E138" s="1"/>
      <c r="F138" s="1"/>
      <c r="G138" s="1"/>
      <c r="H138" s="1" t="s">
        <v>28</v>
      </c>
      <c r="J138" s="1" t="str">
        <f aca="false">D122</f>
        <v>_Z0_1_6_R0_1_1</v>
      </c>
      <c r="K138" s="1" t="s">
        <v>31</v>
      </c>
      <c r="P138" s="1" t="str">
        <f aca="false">_xlfn.CONCAT(H138:N138)</f>
        <v>s:Ge/PhaseVol_Z0_1_6_R0_1_1/Material   = "G4_WATER"</v>
      </c>
    </row>
    <row r="139" customFormat="false" ht="13.8" hidden="false" customHeight="false" outlineLevel="0" collapsed="false">
      <c r="B139" s="1"/>
      <c r="C139" s="1"/>
      <c r="D139" s="1"/>
      <c r="E139" s="1"/>
      <c r="F139" s="1"/>
      <c r="G139" s="1"/>
      <c r="H139" s="1" t="s">
        <v>32</v>
      </c>
      <c r="J139" s="1" t="str">
        <f aca="false">D122</f>
        <v>_Z0_1_6_R0_1_1</v>
      </c>
      <c r="K139" s="1" t="s">
        <v>33</v>
      </c>
      <c r="L139" s="1" t="n">
        <f aca="false">D125+E125*(F125 -1)</f>
        <v>0</v>
      </c>
      <c r="M139" s="1" t="s">
        <v>34</v>
      </c>
      <c r="P139" s="1" t="str">
        <f aca="false">_xlfn.CONCAT(H139:N139)</f>
        <v>d:Ge/PhaseVol_Z0_1_6_R0_1_1/Rmin =  0 cm</v>
      </c>
    </row>
    <row r="140" customFormat="false" ht="13.8" hidden="false" customHeight="false" outlineLevel="0" collapsed="false">
      <c r="B140" s="1"/>
      <c r="C140" s="1"/>
      <c r="D140" s="1"/>
      <c r="E140" s="1"/>
      <c r="F140" s="1"/>
      <c r="G140" s="1"/>
      <c r="H140" s="1" t="s">
        <v>32</v>
      </c>
      <c r="J140" s="1" t="str">
        <f aca="false">D122</f>
        <v>_Z0_1_6_R0_1_1</v>
      </c>
      <c r="K140" s="1" t="s">
        <v>35</v>
      </c>
      <c r="L140" s="2" t="n">
        <f aca="false">D125+E125*(F125 )</f>
        <v>1</v>
      </c>
      <c r="M140" s="1" t="s">
        <v>34</v>
      </c>
      <c r="P140" s="1" t="str">
        <f aca="false">_xlfn.CONCAT(H140:N140)</f>
        <v>d:Ge/PhaseVol_Z0_1_6_R0_1_1/Rmax = 1 cm</v>
      </c>
    </row>
    <row r="141" customFormat="false" ht="13.8" hidden="false" customHeight="false" outlineLevel="0" collapsed="false">
      <c r="B141" s="1"/>
      <c r="C141" s="1"/>
      <c r="D141" s="1"/>
      <c r="E141" s="1"/>
      <c r="F141" s="1"/>
      <c r="G141" s="1"/>
      <c r="H141" s="1" t="s">
        <v>32</v>
      </c>
      <c r="J141" s="1" t="str">
        <f aca="false">D122</f>
        <v>_Z0_1_6_R0_1_1</v>
      </c>
      <c r="K141" s="1" t="s">
        <v>36</v>
      </c>
      <c r="L141" s="1" t="n">
        <f aca="false">0.5*E124</f>
        <v>0.5</v>
      </c>
      <c r="M141" s="1" t="s">
        <v>34</v>
      </c>
      <c r="P141" s="1" t="str">
        <f aca="false">_xlfn.CONCAT(H141:N141)</f>
        <v>d:Ge/PhaseVol_Z0_1_6_R0_1_1/HL = 0.5 cm</v>
      </c>
    </row>
    <row r="142" customFormat="false" ht="16.95" hidden="false" customHeight="true" outlineLevel="0" collapsed="false">
      <c r="B142" s="1"/>
      <c r="C142" s="1"/>
      <c r="D142" s="1"/>
      <c r="E142" s="1"/>
      <c r="F142" s="1"/>
      <c r="G142" s="1"/>
      <c r="H142" s="1" t="s">
        <v>32</v>
      </c>
      <c r="J142" s="1" t="str">
        <f aca="false">D122</f>
        <v>_Z0_1_6_R0_1_1</v>
      </c>
      <c r="K142" s="3" t="s">
        <v>37</v>
      </c>
      <c r="L142" s="1" t="n">
        <v>0</v>
      </c>
      <c r="M142" s="1" t="s">
        <v>38</v>
      </c>
      <c r="P142" s="1" t="str">
        <f aca="false">_xlfn.CONCAT(H142:N142)</f>
        <v>d:Ge/PhaseVol_Z0_1_6_R0_1_1/Sphi     = 0 deg</v>
      </c>
    </row>
    <row r="143" customFormat="false" ht="16.95" hidden="false" customHeight="true" outlineLevel="0" collapsed="false">
      <c r="B143" s="1"/>
      <c r="C143" s="1"/>
      <c r="D143" s="1"/>
      <c r="E143" s="1"/>
      <c r="F143" s="1"/>
      <c r="G143" s="1"/>
      <c r="H143" s="1" t="s">
        <v>32</v>
      </c>
      <c r="I143" s="1"/>
      <c r="J143" s="1" t="str">
        <f aca="false">D122</f>
        <v>_Z0_1_6_R0_1_1</v>
      </c>
      <c r="K143" s="1" t="s">
        <v>39</v>
      </c>
      <c r="L143" s="1" t="n">
        <v>360</v>
      </c>
      <c r="M143" s="1" t="s">
        <v>38</v>
      </c>
      <c r="P143" s="1" t="str">
        <f aca="false">_xlfn.CONCAT(H143:N143)</f>
        <v>d:Ge/PhaseVol_Z0_1_6_R0_1_1/Dphi     = 360 deg</v>
      </c>
    </row>
    <row r="144" customFormat="false" ht="16.95" hidden="false" customHeight="true" outlineLevel="0" collapsed="false">
      <c r="B144" s="1"/>
      <c r="C144" s="1"/>
      <c r="D144" s="1"/>
      <c r="E144" s="1"/>
      <c r="F144" s="1"/>
      <c r="G144" s="1"/>
      <c r="H144" s="1" t="s">
        <v>32</v>
      </c>
      <c r="J144" s="1" t="str">
        <f aca="false">D122</f>
        <v>_Z0_1_6_R0_1_1</v>
      </c>
      <c r="K144" s="1" t="s">
        <v>40</v>
      </c>
      <c r="L144" s="1" t="n">
        <v>0</v>
      </c>
      <c r="M144" s="1" t="s">
        <v>34</v>
      </c>
      <c r="P144" s="1" t="str">
        <f aca="false">_xlfn.CONCAT(H144:N144)</f>
        <v>d:Ge/PhaseVol_Z0_1_6_R0_1_1/TransX   =  0 cm</v>
      </c>
    </row>
    <row r="145" customFormat="false" ht="16.95" hidden="false" customHeight="true" outlineLevel="0" collapsed="false">
      <c r="B145" s="1"/>
      <c r="C145" s="1"/>
      <c r="D145" s="1"/>
      <c r="E145" s="1"/>
      <c r="F145" s="1"/>
      <c r="G145" s="1"/>
      <c r="H145" s="1" t="s">
        <v>32</v>
      </c>
      <c r="J145" s="1" t="str">
        <f aca="false">D122</f>
        <v>_Z0_1_6_R0_1_1</v>
      </c>
      <c r="K145" s="1" t="s">
        <v>41</v>
      </c>
      <c r="L145" s="1" t="n">
        <v>0</v>
      </c>
      <c r="M145" s="1" t="s">
        <v>34</v>
      </c>
      <c r="P145" s="1" t="str">
        <f aca="false">_xlfn.CONCAT(H145:N145)</f>
        <v>d:Ge/PhaseVol_Z0_1_6_R0_1_1/TransY   =  0 cm</v>
      </c>
    </row>
    <row r="146" customFormat="false" ht="16.95" hidden="false" customHeight="true" outlineLevel="0" collapsed="false">
      <c r="B146" s="1"/>
      <c r="C146" s="1"/>
      <c r="D146" s="1"/>
      <c r="E146" s="1"/>
      <c r="F146" s="1"/>
      <c r="G146" s="1"/>
      <c r="H146" s="1" t="s">
        <v>32</v>
      </c>
      <c r="J146" s="1" t="str">
        <f aca="false">D122</f>
        <v>_Z0_1_6_R0_1_1</v>
      </c>
      <c r="K146" s="1" t="s">
        <v>42</v>
      </c>
      <c r="L146" s="1" t="n">
        <f aca="false">-1*(D124-0.5*E124+E124*(F124))</f>
        <v>-5.5</v>
      </c>
      <c r="M146" s="1" t="s">
        <v>34</v>
      </c>
      <c r="P146" s="1" t="str">
        <f aca="false">_xlfn.CONCAT(H146:N146)</f>
        <v>d:Ge/PhaseVol_Z0_1_6_R0_1_1/TransZ   =  -5.5 cm</v>
      </c>
    </row>
    <row r="147" customFormat="false" ht="16.95" hidden="false" customHeight="true" outlineLevel="0" collapsed="false">
      <c r="B147" s="1"/>
      <c r="C147" s="1"/>
      <c r="D147" s="1"/>
      <c r="E147" s="1"/>
      <c r="F147" s="1"/>
      <c r="G147" s="1"/>
      <c r="H147" s="1" t="s">
        <v>32</v>
      </c>
      <c r="J147" s="1" t="str">
        <f aca="false">D122</f>
        <v>_Z0_1_6_R0_1_1</v>
      </c>
      <c r="K147" s="1" t="s">
        <v>43</v>
      </c>
      <c r="L147" s="1" t="n">
        <v>0</v>
      </c>
      <c r="M147" s="1" t="s">
        <v>38</v>
      </c>
      <c r="P147" s="1" t="str">
        <f aca="false">_xlfn.CONCAT(H147:N147)</f>
        <v>d:Ge/PhaseVol_Z0_1_6_R0_1_1/RotX     = 0 deg</v>
      </c>
    </row>
    <row r="148" customFormat="false" ht="16.95" hidden="false" customHeight="true" outlineLevel="0" collapsed="false">
      <c r="B148" s="1"/>
      <c r="C148" s="1"/>
      <c r="D148" s="1"/>
      <c r="E148" s="1"/>
      <c r="F148" s="1"/>
      <c r="G148" s="1"/>
      <c r="H148" s="1" t="s">
        <v>32</v>
      </c>
      <c r="J148" s="1" t="str">
        <f aca="false">D122</f>
        <v>_Z0_1_6_R0_1_1</v>
      </c>
      <c r="K148" s="1" t="s">
        <v>44</v>
      </c>
      <c r="L148" s="1" t="n">
        <v>0</v>
      </c>
      <c r="M148" s="1" t="s">
        <v>38</v>
      </c>
      <c r="P148" s="1" t="str">
        <f aca="false">_xlfn.CONCAT(H148:N148)</f>
        <v>d:Ge/PhaseVol_Z0_1_6_R0_1_1/RotY     =  0 deg</v>
      </c>
    </row>
    <row r="149" customFormat="false" ht="16.95" hidden="false" customHeight="true" outlineLevel="0" collapsed="false">
      <c r="B149" s="1"/>
      <c r="C149" s="1"/>
      <c r="D149" s="1"/>
      <c r="E149" s="1"/>
      <c r="F149" s="1"/>
      <c r="G149" s="1"/>
      <c r="H149" s="1" t="s">
        <v>32</v>
      </c>
      <c r="J149" s="1" t="str">
        <f aca="false">D122</f>
        <v>_Z0_1_6_R0_1_1</v>
      </c>
      <c r="K149" s="1" t="s">
        <v>45</v>
      </c>
      <c r="L149" s="1" t="n">
        <v>0</v>
      </c>
      <c r="M149" s="1" t="s">
        <v>38</v>
      </c>
      <c r="P149" s="1" t="str">
        <f aca="false">_xlfn.CONCAT(H149:N149)</f>
        <v>d:Ge/PhaseVol_Z0_1_6_R0_1_1/RotZ     = 0 deg</v>
      </c>
    </row>
    <row r="150" customFormat="false" ht="16.95" hidden="false" customHeight="true" outlineLevel="0" collapsed="false">
      <c r="B150" s="1"/>
      <c r="C150" s="1"/>
      <c r="D150" s="1"/>
      <c r="E150" s="1"/>
      <c r="F150" s="1"/>
      <c r="G150" s="1"/>
      <c r="H150" s="1" t="s">
        <v>28</v>
      </c>
      <c r="J150" s="1" t="str">
        <f aca="false">D122</f>
        <v>_Z0_1_6_R0_1_1</v>
      </c>
      <c r="K150" s="1" t="s">
        <v>46</v>
      </c>
      <c r="P150" s="1" t="str">
        <f aca="false">_xlfn.CONCAT(H150:N150)</f>
        <v>s:Ge/PhaseVol_Z0_1_6_R0_1_1/Color    = "blue"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2024-04-26T14:00:14Z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